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815" activeTab="2"/>
  </bookViews>
  <sheets>
    <sheet sheetId="8" name="棚卸集計表送付書" state="visible" r:id="rId4"/>
    <sheet sheetId="1" name="棚卸表" state="hidden" r:id="rId5"/>
    <sheet sheetId="12" name="野菜" state="visible" r:id="rId6"/>
    <sheet sheetId="13" name="果物" state="visible" r:id="rId7"/>
    <sheet sheetId="15" name="野菜　原価" state="visible" r:id="rId8"/>
    <sheet sheetId="16" name="野菜　売価" state="visible" r:id="rId9"/>
    <sheet sheetId="19" name="果物　原価 " state="visible" r:id="rId10"/>
    <sheet sheetId="20" name="果物　売価" state="visible" r:id="rId11"/>
    <sheet sheetId="9" name="棚卸店舗集計表　#1生鮮他" state="visible" r:id="rId12"/>
    <sheet sheetId="5" name="各社部門コード" state="hidden" r:id="rId13"/>
    <sheet sheetId="3" name="棚卸集計表  (ワード貼付用)" state="hidden" r:id="rId14"/>
    <sheet sheetId="2" name="野菜テンプレ" state="visible" r:id="rId15"/>
  </sheets>
  <definedNames>
    <definedName name="_xlnm.Print_Area" localSheetId="5">'野菜　売価'!$A1:$K44</definedName>
  </definedNames>
  <calcPr calcId="171027"/>
</workbook>
</file>

<file path=xl/sharedStrings.xml><?xml version="1.0" encoding="utf-8"?>
<sst xmlns="http://schemas.openxmlformats.org/spreadsheetml/2006/main" count="890" uniqueCount="233">
  <si>
    <t>棚 卸 帳 票 類 送 付 書</t>
  </si>
  <si>
    <t xml:space="preserve">　　棚卸実施日：西暦　　　　　年　　　月　　　日</t>
  </si>
  <si>
    <t xml:space="preserve">　１．棚卸店舗集計表（生鮮）</t>
  </si>
  <si>
    <t>枚</t>
  </si>
  <si>
    <t xml:space="preserve">　２．棚卸店舗集計表（フロア）</t>
  </si>
  <si>
    <t>店長印</t>
  </si>
  <si>
    <r>
      <t>店舗名：</t>
    </r>
    <r>
      <rPr>
        <u/>
        <charset val="128"/>
        <color indexed="8"/>
        <family val="3"/>
        <sz val="20"/>
        <rFont val="ＭＳ Ｐゴシック"/>
      </rPr>
      <t xml:space="preserve">　　　　　　　　　　　　　</t>
    </r>
    <r>
      <rPr>
        <charset val="128"/>
        <color indexed="8"/>
        <family val="3"/>
        <sz val="20"/>
        <rFont val="ＭＳ Ｐゴシック"/>
      </rPr>
      <t xml:space="preserve">　</t>
    </r>
  </si>
  <si>
    <t>棚　卸　表</t>
  </si>
  <si>
    <t>No.：</t>
  </si>
  <si>
    <t>担当者</t>
  </si>
  <si>
    <t>店舗</t>
  </si>
  <si>
    <t>（読上係）</t>
  </si>
  <si>
    <t>（記入係）</t>
  </si>
  <si>
    <t>部門</t>
  </si>
  <si>
    <t>実施日</t>
  </si>
  <si>
    <t xml:space="preserve">         年 　　  月　　 　日</t>
  </si>
  <si>
    <t>場所</t>
  </si>
  <si>
    <t>売場　・　後方</t>
  </si>
  <si>
    <t>実施時間　　　　　：　　　　～　　　　　：</t>
  </si>
  <si>
    <t>品名</t>
  </si>
  <si>
    <t>数量</t>
  </si>
  <si>
    <t>単位</t>
  </si>
  <si>
    <t>売価</t>
  </si>
  <si>
    <t>金額</t>
  </si>
  <si>
    <t>kg ・本・箱・袋</t>
  </si>
  <si>
    <t>小計</t>
  </si>
  <si>
    <t>検査員</t>
  </si>
  <si>
    <t>古沢店</t>
  </si>
  <si>
    <t>野菜</t>
  </si>
  <si>
    <t xml:space="preserve">         2026年 　 2月 28日</t>
  </si>
  <si>
    <t>後方</t>
  </si>
  <si>
    <t>実施時間　16：00　　　～　18：00</t>
  </si>
  <si>
    <t>原価</t>
  </si>
  <si>
    <t>原価金額</t>
  </si>
  <si>
    <t>売価金額</t>
  </si>
  <si>
    <t>チェック</t>
  </si>
  <si>
    <t>なす</t>
  </si>
  <si>
    <t>kg ・個・箱・袋</t>
  </si>
  <si>
    <t>かぼちゃ</t>
  </si>
  <si>
    <t>紅霧島</t>
  </si>
  <si>
    <t>長芋</t>
  </si>
  <si>
    <t>玉ねぎ　2k</t>
  </si>
  <si>
    <t>玉ねぎ3p</t>
  </si>
  <si>
    <t>長茄子</t>
  </si>
  <si>
    <t>シルクスイート</t>
  </si>
  <si>
    <t>新玉ねぎ</t>
  </si>
  <si>
    <t>きゅうり</t>
  </si>
  <si>
    <t>人参　袋</t>
  </si>
  <si>
    <t>ブロッコリー</t>
  </si>
  <si>
    <t>大根</t>
  </si>
  <si>
    <t>サニーレタス</t>
  </si>
  <si>
    <t>白菜</t>
  </si>
  <si>
    <t>ささ</t>
  </si>
  <si>
    <t>エリンギ</t>
  </si>
  <si>
    <t>舞茸</t>
  </si>
  <si>
    <t>えのき</t>
  </si>
  <si>
    <t>キャベツ</t>
  </si>
  <si>
    <t>ほうれん草</t>
  </si>
  <si>
    <t>小松菜</t>
  </si>
  <si>
    <t>長ネギ</t>
  </si>
  <si>
    <t>かぶ</t>
  </si>
  <si>
    <t>フルーツトマト</t>
  </si>
  <si>
    <t>レンコン</t>
  </si>
  <si>
    <t>青梗菜</t>
  </si>
  <si>
    <t>三つ葉</t>
  </si>
  <si>
    <t>春菊</t>
  </si>
  <si>
    <t>生姜</t>
  </si>
  <si>
    <t>ちぢみほうれん草</t>
  </si>
  <si>
    <t>にら</t>
  </si>
  <si>
    <t>水菜</t>
  </si>
  <si>
    <t>生椎茸 小</t>
  </si>
  <si>
    <t>生椎茸大</t>
  </si>
  <si>
    <t>豆苗</t>
  </si>
  <si>
    <t>おおば</t>
  </si>
  <si>
    <t>アスパラ</t>
  </si>
  <si>
    <t>トムトムトマト</t>
  </si>
  <si>
    <t>ベビーリーフ</t>
  </si>
  <si>
    <t>セロリ</t>
  </si>
  <si>
    <t>果物</t>
  </si>
  <si>
    <t xml:space="preserve">         2026年 　　2月28日</t>
  </si>
  <si>
    <t>みかん</t>
  </si>
  <si>
    <t>サンフジ箱</t>
  </si>
  <si>
    <t>サンフジ　2p</t>
  </si>
  <si>
    <t>いよかん大袋</t>
  </si>
  <si>
    <t>紅八朔</t>
  </si>
  <si>
    <t>ポンカン袋</t>
  </si>
  <si>
    <t>いちこ</t>
  </si>
  <si>
    <t>サンフジ　袋</t>
  </si>
  <si>
    <t>文旦pc</t>
  </si>
  <si>
    <t>文旦袋</t>
  </si>
  <si>
    <t>いよかん6p</t>
  </si>
  <si>
    <t>グレープ</t>
  </si>
  <si>
    <t>オレンジ</t>
  </si>
  <si>
    <t>売場</t>
  </si>
  <si>
    <t>(2)-2 棚卸部門集計表(原価)</t>
  </si>
  <si>
    <t>棚　卸　部　門　集　計　表</t>
  </si>
  <si>
    <t xml:space="preserve">　　棚卸実施日：西暦　　2026年2月28日</t>
  </si>
  <si>
    <t>開始時間：</t>
  </si>
  <si>
    <t>終了時間：</t>
  </si>
  <si>
    <t xml:space="preserve">店舗名：　古沢店　　店舗コード　　　　　　　　　　　</t>
  </si>
  <si>
    <t xml:space="preserve">部門名：　野菜　　　 部門コード　　　　　　　　　　　</t>
  </si>
  <si>
    <t>区分</t>
  </si>
  <si>
    <t>棚卸表枚数</t>
  </si>
  <si>
    <t>原価金額合計</t>
  </si>
  <si>
    <t xml:space="preserve">　ＰＤＡ棚卸額</t>
  </si>
  <si>
    <t xml:space="preserve">　バックヤード棚卸額</t>
  </si>
  <si>
    <t xml:space="preserve">　手書棚卸額</t>
  </si>
  <si>
    <t xml:space="preserve">　委託先棚卸額</t>
  </si>
  <si>
    <t xml:space="preserve">　合計棚卸額</t>
  </si>
  <si>
    <r>
      <t>担当者名：</t>
    </r>
    <r>
      <rPr>
        <charset val="128"/>
        <color indexed="8"/>
        <family val="3"/>
        <sz val="20"/>
        <rFont val="ＭＳ Ｐゴシック"/>
      </rPr>
      <t xml:space="preserve">　　渡辺廣和　　　　</t>
    </r>
    <r>
      <rPr>
        <charset val="128"/>
        <color indexed="8"/>
        <family val="3"/>
        <sz val="14"/>
        <rFont val="ＭＳ Ｐゴシック"/>
      </rPr>
      <t>印</t>
    </r>
    <r>
      <rPr>
        <u/>
        <charset val="128"/>
        <color indexed="8"/>
        <family val="3"/>
        <sz val="20"/>
        <rFont val="ＭＳ Ｐゴシック"/>
      </rPr>
      <t xml:space="preserve">　　　　　　　　　　</t>
    </r>
    <r>
      <rPr>
        <charset val="128"/>
        <color indexed="8"/>
        <family val="3"/>
        <sz val="20"/>
        <rFont val="ＭＳ Ｐゴシック"/>
      </rPr>
      <t xml:space="preserve">　</t>
    </r>
  </si>
  <si>
    <t>●修正があった棚卸表</t>
  </si>
  <si>
    <t>棚卸表№</t>
  </si>
  <si>
    <t>①修正前小計</t>
  </si>
  <si>
    <t>②修正後小計</t>
  </si>
  <si>
    <t>差額(②－①)</t>
  </si>
  <si>
    <t xml:space="preserve">　　棚卸実施日：西暦　2026年2月28日</t>
  </si>
  <si>
    <t xml:space="preserve">部門名：　　野菜　　 部門コード　　　　　01　　　　　　</t>
  </si>
  <si>
    <t>売価金額合計</t>
  </si>
  <si>
    <r>
      <t>担当者名：</t>
    </r>
    <r>
      <rPr>
        <charset val="128"/>
        <color indexed="8"/>
        <family val="3"/>
        <sz val="20"/>
        <rFont val="ＭＳ Ｐゴシック"/>
      </rPr>
      <t xml:space="preserve">　渡辺廣和　　　</t>
    </r>
    <r>
      <rPr>
        <charset val="128"/>
        <color indexed="8"/>
        <family val="3"/>
        <sz val="14"/>
        <rFont val="ＭＳ Ｐゴシック"/>
      </rPr>
      <t>印</t>
    </r>
    <r>
      <rPr>
        <u/>
        <charset val="128"/>
        <color indexed="8"/>
        <family val="3"/>
        <sz val="20"/>
        <rFont val="ＭＳ Ｐゴシック"/>
      </rPr>
      <t xml:space="preserve">　　　　　　　　　　</t>
    </r>
    <r>
      <rPr>
        <charset val="128"/>
        <color indexed="8"/>
        <family val="3"/>
        <sz val="20"/>
        <rFont val="ＭＳ Ｐゴシック"/>
      </rPr>
      <t xml:space="preserve">　</t>
    </r>
  </si>
  <si>
    <t xml:space="preserve">部門名：　果物　　　 部門コード　　　02　　　　　　　　</t>
  </si>
  <si>
    <t>.</t>
  </si>
  <si>
    <t xml:space="preserve">部門名：　　果物　　 部門コード　　　　02　　　　　　</t>
  </si>
  <si>
    <t>＃1　生鮮</t>
  </si>
  <si>
    <t>棚卸店舗集計表</t>
  </si>
  <si>
    <t>店長</t>
  </si>
  <si>
    <t>店舗名</t>
  </si>
  <si>
    <t>実施日　　　　年　　月　　日</t>
  </si>
  <si>
    <t>バックヤード</t>
  </si>
  <si>
    <t>店舗計</t>
  </si>
  <si>
    <t>担当者印</t>
  </si>
  <si>
    <t>PDA</t>
  </si>
  <si>
    <t>手書</t>
  </si>
  <si>
    <t>原価合計金額</t>
  </si>
  <si>
    <t>売価合計金額</t>
  </si>
  <si>
    <t>01</t>
  </si>
  <si>
    <t>02</t>
  </si>
  <si>
    <t>鮮魚</t>
  </si>
  <si>
    <t>03</t>
  </si>
  <si>
    <t>塩干</t>
  </si>
  <si>
    <t>04</t>
  </si>
  <si>
    <t>海鮮寿司</t>
  </si>
  <si>
    <t>31</t>
  </si>
  <si>
    <t>精肉</t>
  </si>
  <si>
    <t>05</t>
  </si>
  <si>
    <t>加工品</t>
  </si>
  <si>
    <t>06</t>
  </si>
  <si>
    <t>惣菜</t>
  </si>
  <si>
    <t>07</t>
  </si>
  <si>
    <t>ベーカリー</t>
  </si>
  <si>
    <t>27</t>
  </si>
  <si>
    <t>生鮮合計</t>
  </si>
  <si>
    <t>－</t>
  </si>
  <si>
    <t>（管理部門使用欄）</t>
  </si>
  <si>
    <t>（MDへの入力）</t>
  </si>
  <si>
    <t>確認者</t>
  </si>
  <si>
    <t>※ホックの部門コード</t>
  </si>
  <si>
    <t xml:space="preserve">　2桁の数値に300を追加した数値に読み替える。</t>
  </si>
  <si>
    <t xml:space="preserve">　例）01野菜（東京・山梨）　→　301野菜（ホック）</t>
  </si>
  <si>
    <t>東京</t>
  </si>
  <si>
    <t>ホック</t>
  </si>
  <si>
    <t>山梨</t>
  </si>
  <si>
    <t>ホック　メモ</t>
  </si>
  <si>
    <t>コード</t>
  </si>
  <si>
    <t>名称</t>
  </si>
  <si>
    <t xml:space="preserve">ホックの場合 牛乳卵・洋日・和日・パン 毎月しますので＃1生鮮他の方にも載せてもらいたいです。  </t>
  </si>
  <si>
    <t>全店計</t>
  </si>
  <si>
    <t>＃2フロアに 41 衣料の部門を追加して下さい。</t>
  </si>
  <si>
    <t>既存店計</t>
  </si>
  <si>
    <t xml:space="preserve">あと、棚卸表ですが、ホックでは検算をして入力しますのでページごとに小計欄を付けていただきたいです。 すみませんが、よろしくお願いします。 </t>
  </si>
  <si>
    <t>野　菜</t>
  </si>
  <si>
    <t>果　物</t>
  </si>
  <si>
    <t>鮮　魚</t>
  </si>
  <si>
    <t>塩　干</t>
  </si>
  <si>
    <t>精　肉</t>
  </si>
  <si>
    <t>加工肉</t>
  </si>
  <si>
    <t>惣　菜</t>
  </si>
  <si>
    <t>寿　司</t>
  </si>
  <si>
    <t>食　品</t>
  </si>
  <si>
    <t>食品</t>
  </si>
  <si>
    <t>牛乳・卵</t>
  </si>
  <si>
    <t>菓　子</t>
  </si>
  <si>
    <t>菓子</t>
  </si>
  <si>
    <t>雑　貨</t>
  </si>
  <si>
    <t>雑　誌</t>
  </si>
  <si>
    <t>米</t>
  </si>
  <si>
    <t>デザート</t>
  </si>
  <si>
    <t>洋日配</t>
  </si>
  <si>
    <t>日　配</t>
  </si>
  <si>
    <t>和日配</t>
  </si>
  <si>
    <t>宅急便</t>
  </si>
  <si>
    <t>生　花</t>
  </si>
  <si>
    <t>催　事</t>
  </si>
  <si>
    <t>タバコ</t>
  </si>
  <si>
    <t>その他</t>
  </si>
  <si>
    <t>酒</t>
  </si>
  <si>
    <t>ギフト・土産品</t>
  </si>
  <si>
    <t>ギフト</t>
  </si>
  <si>
    <t>サ－ビス</t>
  </si>
  <si>
    <t>イートイン</t>
  </si>
  <si>
    <t>パン</t>
  </si>
  <si>
    <t>冷凍食品</t>
  </si>
  <si>
    <t>アイス</t>
  </si>
  <si>
    <t>靴のヨダ</t>
  </si>
  <si>
    <t>その他（内税）</t>
  </si>
  <si>
    <t>１００円均一</t>
  </si>
  <si>
    <t>衣料</t>
  </si>
  <si>
    <t>テナント惣菜</t>
  </si>
  <si>
    <t>ランドリー</t>
  </si>
  <si>
    <t>テナント衣料</t>
  </si>
  <si>
    <t>棚卸集計表</t>
  </si>
  <si>
    <t>合計金額</t>
  </si>
  <si>
    <t>青果</t>
  </si>
  <si>
    <t>寿司</t>
  </si>
  <si>
    <t>09</t>
  </si>
  <si>
    <t>15</t>
  </si>
  <si>
    <t>たばこ</t>
  </si>
  <si>
    <t>22</t>
  </si>
  <si>
    <t>25</t>
  </si>
  <si>
    <t>その他合計</t>
  </si>
  <si>
    <t>（HD使用欄）</t>
  </si>
  <si>
    <t>（経理グループ）</t>
  </si>
  <si>
    <t>（システムグループ）</t>
  </si>
  <si>
    <t>＃2　グローサリー</t>
  </si>
  <si>
    <t>売場（AJIS棚卸）</t>
  </si>
  <si>
    <t>10</t>
  </si>
  <si>
    <t>11</t>
  </si>
  <si>
    <t>12</t>
  </si>
  <si>
    <t>雑貨</t>
  </si>
  <si>
    <t>13</t>
  </si>
  <si>
    <t>16</t>
  </si>
  <si>
    <t>日配</t>
  </si>
  <si>
    <t>17</t>
  </si>
  <si>
    <t>グローサリー合計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</si>
</sst>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harset val="128"/>
      <color theme="1"/>
      <family val="3"/>
      <scheme val="minor"/>
      <sz val="11"/>
      <name val="ＭＳ Ｐゴシック"/>
    </font>
    <font>
      <charset val="128"/>
      <color theme="1"/>
      <family val="3"/>
      <scheme val="minor"/>
      <sz val="28"/>
      <name val="ＭＳ Ｐゴシック"/>
    </font>
    <font>
      <u/>
      <charset val="128"/>
      <color theme="1"/>
      <family val="3"/>
      <scheme val="minor"/>
      <sz val="28"/>
      <name val="ＭＳ Ｐゴシック"/>
    </font>
    <font>
      <charset val="128"/>
      <color theme="1"/>
      <family val="3"/>
      <scheme val="minor"/>
      <sz val="20"/>
      <name val="ＭＳ Ｐゴシック"/>
    </font>
    <font>
      <charset val="128"/>
      <color theme="1"/>
      <family val="3"/>
      <sz val="11"/>
      <name val="ＭＳ Ｐゴシック"/>
    </font>
    <font>
      <charset val="128"/>
      <color theme="1"/>
      <family val="3"/>
      <sz val="28"/>
      <name val="ＭＳ Ｐゴシック"/>
    </font>
    <font>
      <charset val="128"/>
      <color theme="1"/>
      <family val="3"/>
      <sz val="8"/>
      <name val="ＭＳ Ｐゴシック"/>
    </font>
    <font>
      <charset val="128"/>
      <color theme="1"/>
      <family val="1"/>
      <sz val="11"/>
      <name val="ＭＳ 明朝"/>
    </font>
    <font>
      <b/>
      <charset val="128"/>
      <color theme="1"/>
      <family val="3"/>
      <scheme val="minor"/>
      <sz val="14"/>
      <name val="ＭＳ Ｐゴシック"/>
    </font>
    <font>
      <charset val="128"/>
      <color theme="1"/>
      <family val="3"/>
      <scheme val="minor"/>
      <sz val="18"/>
      <name val="ＭＳ Ｐゴシック"/>
    </font>
    <font>
      <b/>
      <charset val="128"/>
      <color theme="1"/>
      <family val="3"/>
      <scheme val="minor"/>
      <sz val="16"/>
      <name val="ＭＳ Ｐゴシック"/>
    </font>
    <font>
      <b/>
      <charset val="128"/>
      <color theme="1"/>
      <family val="3"/>
      <scheme val="minor"/>
      <sz val="11"/>
      <name val="ＭＳ Ｐゴシック"/>
    </font>
    <font>
      <charset val="128"/>
      <color theme="1"/>
      <family val="3"/>
      <scheme val="minor"/>
      <sz val="26"/>
      <name val="ＭＳ Ｐゴシック"/>
    </font>
    <font>
      <u/>
      <charset val="128"/>
      <color theme="1"/>
      <family val="3"/>
      <scheme val="minor"/>
      <sz val="11"/>
      <name val="ＭＳ Ｐゴシック"/>
    </font>
    <font>
      <charset val="128"/>
      <color rgb="FF0000CC"/>
      <family val="3"/>
      <scheme val="minor"/>
      <sz val="11"/>
      <name val="ＭＳ Ｐゴシック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gray0625">
        <bgColor theme="0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20" fontId="1" fillId="0" borderId="8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20" fontId="1" fillId="2" borderId="8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" fillId="0" borderId="1" xfId="0" applyFont="1" applyBorder="1"/>
    <xf numFmtId="0" fontId="1" fillId="2" borderId="0" xfId="0" applyFont="1" applyFill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38" fontId="1" fillId="3" borderId="2" xfId="0" applyNumberFormat="1" applyFont="1" applyFill="1" applyBorder="1" applyAlignment="1">
      <alignment vertical="center"/>
    </xf>
    <xf numFmtId="38" fontId="1" fillId="3" borderId="8" xfId="0" applyNumberFormat="1" applyFont="1" applyFill="1" applyBorder="1" applyAlignment="1">
      <alignment vertical="center"/>
    </xf>
    <xf numFmtId="38" fontId="1" fillId="2" borderId="7" xfId="0" applyNumberFormat="1" applyFont="1" applyFill="1" applyBorder="1" applyAlignment="1">
      <alignment horizontal="right" vertical="center"/>
    </xf>
    <xf numFmtId="38" fontId="1" fillId="2" borderId="9" xfId="0" applyNumberFormat="1" applyFont="1" applyFill="1" applyBorder="1" applyAlignment="1">
      <alignment horizontal="right" vertical="center"/>
    </xf>
    <xf numFmtId="38" fontId="1" fillId="2" borderId="8" xfId="0" applyNumberFormat="1" applyFont="1" applyFill="1" applyBorder="1" applyAlignment="1">
      <alignment horizontal="right" vertical="center"/>
    </xf>
    <xf numFmtId="38" fontId="1" fillId="2" borderId="2" xfId="0" applyNumberFormat="1" applyFont="1" applyFill="1" applyBorder="1" applyAlignment="1">
      <alignment vertical="center"/>
    </xf>
    <xf numFmtId="38" fontId="1" fillId="2" borderId="8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" fillId="2" borderId="0" xfId="0" applyFont="1" applyFill="1" applyAlignment="1">
      <alignment horizontal="right" vertical="center"/>
    </xf>
    <xf numFmtId="38" fontId="1" fillId="2" borderId="7" xfId="0" applyNumberFormat="1" applyFont="1" applyFill="1" applyBorder="1" applyAlignment="1">
      <alignment horizontal="center" vertical="center"/>
    </xf>
    <xf numFmtId="38" fontId="1" fillId="2" borderId="9" xfId="0" applyNumberFormat="1" applyFont="1" applyFill="1" applyBorder="1" applyAlignment="1">
      <alignment horizontal="center" vertical="center"/>
    </xf>
    <xf numFmtId="38" fontId="1" fillId="2" borderId="7" xfId="0" applyNumberFormat="1" applyFont="1" applyFill="1" applyBorder="1" applyAlignment="1">
      <alignment vertical="center"/>
    </xf>
    <xf numFmtId="38" fontId="1" fillId="2" borderId="9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38" fontId="1" fillId="4" borderId="7" xfId="0" applyNumberFormat="1" applyFont="1" applyFill="1" applyBorder="1" applyAlignment="1">
      <alignment horizontal="center" vertical="center"/>
    </xf>
    <xf numFmtId="38" fontId="1" fillId="4" borderId="9" xfId="0" applyNumberFormat="1" applyFont="1" applyFill="1" applyBorder="1" applyAlignment="1">
      <alignment horizontal="center" vertical="center"/>
    </xf>
    <xf numFmtId="38" fontId="1" fillId="4" borderId="7" xfId="0" applyNumberFormat="1" applyFont="1" applyFill="1" applyBorder="1" applyAlignment="1">
      <alignment vertical="center"/>
    </xf>
    <xf numFmtId="38" fontId="1" fillId="4" borderId="9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12.xml"/><Relationship Id="rId7" Type="http://schemas.openxmlformats.org/officeDocument/2006/relationships/worksheet" Target="worksheets/sheet13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6.xml"/><Relationship Id="rId10" Type="http://schemas.openxmlformats.org/officeDocument/2006/relationships/worksheet" Target="worksheets/sheet19.xml"/><Relationship Id="rId11" Type="http://schemas.openxmlformats.org/officeDocument/2006/relationships/worksheet" Target="worksheets/sheet20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5.xml"/><Relationship Id="rId14" Type="http://schemas.openxmlformats.org/officeDocument/2006/relationships/worksheet" Target="worksheets/sheet3.xml"/><Relationship Id="rId1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 zoomScale="100" zoomScaleNormal="100"/>
  </sheetViews>
  <sheetFormatPr defaultRowHeight="13.5" outlineLevelRow="0" outlineLevelCol="0" x14ac:dyDescent="0.1" customHeight="1"/>
  <cols>
    <col min="1" max="1" width="1.2265625" customWidth="1"/>
    <col min="2" max="2" width="7.90625" customWidth="1"/>
    <col min="3" max="3" width="16.90625" customWidth="1"/>
    <col min="4" max="4" width="2.31640625" customWidth="1"/>
    <col min="5" max="5" width="8.04296875" customWidth="1"/>
    <col min="6" max="6" width="11.453125" customWidth="1"/>
    <col min="7" max="7" width="15.40625" customWidth="1"/>
    <col min="8" max="8" width="1.36328125" customWidth="1"/>
    <col min="9" max="11" width="10.6328125" customWidth="1"/>
    <col min="12" max="12" width="0.953125" customWidth="1"/>
  </cols>
  <sheetData>
    <row r="1" ht="15" customHeight="1" spans="1:12" x14ac:dyDescent="0.25">
      <c r="A1" s="1"/>
      <c r="B1" s="1"/>
      <c r="C1" s="1"/>
      <c r="D1" s="1"/>
      <c r="E1" s="11" t="s">
        <v>7</v>
      </c>
      <c r="F1" s="11"/>
      <c r="G1" s="11"/>
      <c r="H1" s="1"/>
      <c r="I1" s="1"/>
      <c r="J1" s="12" t="s">
        <v>8</v>
      </c>
      <c r="K1" s="12"/>
      <c r="L1" s="1"/>
    </row>
    <row r="2" ht="15" customHeight="1" spans="1:12" x14ac:dyDescent="0.25">
      <c r="A2" s="1"/>
      <c r="B2" s="1"/>
      <c r="C2" s="1"/>
      <c r="D2" s="1"/>
      <c r="E2" s="11"/>
      <c r="F2" s="11"/>
      <c r="G2" s="11"/>
      <c r="H2" s="1"/>
      <c r="I2" s="1"/>
      <c r="J2" s="1"/>
      <c r="K2" s="1"/>
      <c r="L2" s="1"/>
    </row>
    <row r="3" ht="15" customHeight="1" spans="1:12" x14ac:dyDescent="0.25">
      <c r="A3" s="1"/>
      <c r="B3" s="1"/>
      <c r="C3" s="1"/>
      <c r="D3" s="1"/>
      <c r="E3" s="11"/>
      <c r="F3" s="11"/>
      <c r="G3" s="11"/>
      <c r="H3" s="1"/>
      <c r="I3" s="1"/>
      <c r="J3" s="1"/>
      <c r="K3" s="1"/>
      <c r="L3" s="1"/>
    </row>
    <row r="4" ht="15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3" t="s">
        <v>9</v>
      </c>
      <c r="K4" s="13" t="s">
        <v>9</v>
      </c>
      <c r="L4" s="1"/>
    </row>
    <row r="5" ht="15" customHeight="1" spans="1:12" x14ac:dyDescent="0.25">
      <c r="A5" s="1"/>
      <c r="B5" s="1" t="s">
        <v>10</v>
      </c>
      <c r="C5" s="12"/>
      <c r="D5" s="1"/>
      <c r="E5" s="1"/>
      <c r="F5" s="1"/>
      <c r="G5" s="1"/>
      <c r="H5" s="1"/>
      <c r="I5" s="1"/>
      <c r="J5" s="14" t="s">
        <v>11</v>
      </c>
      <c r="K5" s="14" t="s">
        <v>12</v>
      </c>
      <c r="L5" s="1"/>
    </row>
    <row r="6" ht="15" customHeight="1" spans="1:12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7"/>
      <c r="L6" s="1"/>
    </row>
    <row r="7" ht="15" customHeight="1" spans="1:12" x14ac:dyDescent="0.25">
      <c r="A7" s="1"/>
      <c r="B7" s="1" t="s">
        <v>13</v>
      </c>
      <c r="C7" s="12"/>
      <c r="D7" s="1"/>
      <c r="E7" s="12" t="s">
        <v>14</v>
      </c>
      <c r="F7" s="15" t="s">
        <v>15</v>
      </c>
      <c r="G7" s="15"/>
      <c r="H7" s="1"/>
      <c r="I7" s="1"/>
      <c r="J7" s="7"/>
      <c r="K7" s="7"/>
      <c r="L7" s="1"/>
    </row>
    <row r="8" ht="15" customHeight="1" spans="1:12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7"/>
      <c r="L8" s="1"/>
    </row>
    <row r="9" ht="15" customHeight="1" spans="1:12" x14ac:dyDescent="0.25">
      <c r="A9" s="1"/>
      <c r="B9" s="1" t="s">
        <v>16</v>
      </c>
      <c r="C9" s="16" t="s">
        <v>17</v>
      </c>
      <c r="D9" s="1"/>
      <c r="E9" s="15" t="s">
        <v>18</v>
      </c>
      <c r="F9" s="12"/>
      <c r="G9" s="12"/>
      <c r="H9" s="1"/>
      <c r="I9" s="1"/>
      <c r="J9" s="9"/>
      <c r="K9" s="9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ht="15" customHeight="1" spans="1:12" x14ac:dyDescent="0.25">
      <c r="A11" s="1"/>
      <c r="B11" s="17" t="s">
        <v>19</v>
      </c>
      <c r="C11" s="18"/>
      <c r="D11" s="18"/>
      <c r="E11" s="19"/>
      <c r="F11" s="6" t="s">
        <v>20</v>
      </c>
      <c r="G11" s="17" t="s">
        <v>21</v>
      </c>
      <c r="H11" s="19"/>
      <c r="I11" s="6" t="s">
        <v>22</v>
      </c>
      <c r="J11" s="17" t="s">
        <v>23</v>
      </c>
      <c r="K11" s="19"/>
      <c r="L11" s="1"/>
    </row>
    <row r="12" ht="24" customHeight="1" spans="1:12" x14ac:dyDescent="0.25">
      <c r="A12" s="1"/>
      <c r="B12" s="17"/>
      <c r="C12" s="18"/>
      <c r="D12" s="18"/>
      <c r="E12" s="19"/>
      <c r="F12" s="20"/>
      <c r="G12" s="17" t="s">
        <v>24</v>
      </c>
      <c r="H12" s="19"/>
      <c r="I12" s="20"/>
      <c r="J12" s="17"/>
      <c r="K12" s="19"/>
      <c r="L12" s="1"/>
    </row>
    <row r="13" ht="24" customHeight="1" spans="1:12" x14ac:dyDescent="0.25">
      <c r="A13" s="1"/>
      <c r="B13" s="17"/>
      <c r="C13" s="18"/>
      <c r="D13" s="18"/>
      <c r="E13" s="19"/>
      <c r="F13" s="20"/>
      <c r="G13" s="17" t="s">
        <v>24</v>
      </c>
      <c r="H13" s="19"/>
      <c r="I13" s="20"/>
      <c r="J13" s="17"/>
      <c r="K13" s="19"/>
      <c r="L13" s="1"/>
    </row>
    <row r="14" ht="24" customHeight="1" spans="1:12" x14ac:dyDescent="0.25">
      <c r="A14" s="1"/>
      <c r="B14" s="17"/>
      <c r="C14" s="18"/>
      <c r="D14" s="18"/>
      <c r="E14" s="19"/>
      <c r="F14" s="20"/>
      <c r="G14" s="17" t="s">
        <v>24</v>
      </c>
      <c r="H14" s="19"/>
      <c r="I14" s="20"/>
      <c r="J14" s="17"/>
      <c r="K14" s="19"/>
      <c r="L14" s="1"/>
    </row>
    <row r="15" ht="24" customHeight="1" spans="1:12" x14ac:dyDescent="0.25">
      <c r="A15" s="1"/>
      <c r="B15" s="17"/>
      <c r="C15" s="18"/>
      <c r="D15" s="18"/>
      <c r="E15" s="19"/>
      <c r="F15" s="20"/>
      <c r="G15" s="17" t="s">
        <v>24</v>
      </c>
      <c r="H15" s="19"/>
      <c r="I15" s="20"/>
      <c r="J15" s="17"/>
      <c r="K15" s="19"/>
      <c r="L15" s="1"/>
    </row>
    <row r="16" ht="24" customHeight="1" spans="1:12" x14ac:dyDescent="0.25">
      <c r="A16" s="1"/>
      <c r="B16" s="17"/>
      <c r="C16" s="18"/>
      <c r="D16" s="18"/>
      <c r="E16" s="19"/>
      <c r="F16" s="20"/>
      <c r="G16" s="17" t="s">
        <v>24</v>
      </c>
      <c r="H16" s="19"/>
      <c r="I16" s="20"/>
      <c r="J16" s="17"/>
      <c r="K16" s="19"/>
      <c r="L16" s="1"/>
    </row>
    <row r="17" ht="24" customHeight="1" spans="1:12" x14ac:dyDescent="0.25">
      <c r="A17" s="1"/>
      <c r="B17" s="17"/>
      <c r="C17" s="18"/>
      <c r="D17" s="18"/>
      <c r="E17" s="19"/>
      <c r="F17" s="20"/>
      <c r="G17" s="17" t="s">
        <v>24</v>
      </c>
      <c r="H17" s="19"/>
      <c r="I17" s="20"/>
      <c r="J17" s="17"/>
      <c r="K17" s="19"/>
      <c r="L17" s="1"/>
    </row>
    <row r="18" ht="24" customHeight="1" spans="1:12" x14ac:dyDescent="0.25">
      <c r="A18" s="1"/>
      <c r="B18" s="17"/>
      <c r="C18" s="18"/>
      <c r="D18" s="18"/>
      <c r="E18" s="19"/>
      <c r="F18" s="20"/>
      <c r="G18" s="17" t="s">
        <v>24</v>
      </c>
      <c r="H18" s="19"/>
      <c r="I18" s="20"/>
      <c r="J18" s="17"/>
      <c r="K18" s="19"/>
      <c r="L18" s="1"/>
    </row>
    <row r="19" ht="24" customHeight="1" spans="1:12" x14ac:dyDescent="0.25">
      <c r="A19" s="1"/>
      <c r="B19" s="17"/>
      <c r="C19" s="18"/>
      <c r="D19" s="18"/>
      <c r="E19" s="19"/>
      <c r="F19" s="20"/>
      <c r="G19" s="17" t="s">
        <v>24</v>
      </c>
      <c r="H19" s="19"/>
      <c r="I19" s="20"/>
      <c r="J19" s="17"/>
      <c r="K19" s="19"/>
      <c r="L19" s="1"/>
    </row>
    <row r="20" ht="24" customHeight="1" spans="1:12" x14ac:dyDescent="0.25">
      <c r="A20" s="1"/>
      <c r="B20" s="17"/>
      <c r="C20" s="18"/>
      <c r="D20" s="18"/>
      <c r="E20" s="19"/>
      <c r="F20" s="20"/>
      <c r="G20" s="17" t="s">
        <v>24</v>
      </c>
      <c r="H20" s="19"/>
      <c r="I20" s="20"/>
      <c r="J20" s="17"/>
      <c r="K20" s="19"/>
      <c r="L20" s="1"/>
    </row>
    <row r="21" ht="24" customHeight="1" spans="1:12" x14ac:dyDescent="0.25">
      <c r="A21" s="1"/>
      <c r="B21" s="17"/>
      <c r="C21" s="18"/>
      <c r="D21" s="18"/>
      <c r="E21" s="19"/>
      <c r="F21" s="20"/>
      <c r="G21" s="17" t="s">
        <v>24</v>
      </c>
      <c r="H21" s="19"/>
      <c r="I21" s="20"/>
      <c r="J21" s="17"/>
      <c r="K21" s="19"/>
      <c r="L21" s="1"/>
    </row>
    <row r="22" ht="24" customHeight="1" spans="1:12" x14ac:dyDescent="0.25">
      <c r="A22" s="1"/>
      <c r="B22" s="17"/>
      <c r="C22" s="18"/>
      <c r="D22" s="18"/>
      <c r="E22" s="19"/>
      <c r="F22" s="20"/>
      <c r="G22" s="17" t="s">
        <v>24</v>
      </c>
      <c r="H22" s="19"/>
      <c r="I22" s="20"/>
      <c r="J22" s="17"/>
      <c r="K22" s="19"/>
      <c r="L22" s="1"/>
    </row>
    <row r="23" ht="24" customHeight="1" spans="1:12" x14ac:dyDescent="0.25">
      <c r="A23" s="1"/>
      <c r="B23" s="17"/>
      <c r="C23" s="18"/>
      <c r="D23" s="18"/>
      <c r="E23" s="19"/>
      <c r="F23" s="20"/>
      <c r="G23" s="17" t="s">
        <v>24</v>
      </c>
      <c r="H23" s="19"/>
      <c r="I23" s="20"/>
      <c r="J23" s="17"/>
      <c r="K23" s="19"/>
      <c r="L23" s="1"/>
    </row>
    <row r="24" ht="24" customHeight="1" spans="1:12" x14ac:dyDescent="0.25">
      <c r="A24" s="1"/>
      <c r="B24" s="17"/>
      <c r="C24" s="18"/>
      <c r="D24" s="18"/>
      <c r="E24" s="19"/>
      <c r="F24" s="20"/>
      <c r="G24" s="17" t="s">
        <v>24</v>
      </c>
      <c r="H24" s="19"/>
      <c r="I24" s="20"/>
      <c r="J24" s="17"/>
      <c r="K24" s="19"/>
      <c r="L24" s="1"/>
    </row>
    <row r="25" ht="24" customHeight="1" spans="1:12" x14ac:dyDescent="0.25">
      <c r="A25" s="1"/>
      <c r="B25" s="17"/>
      <c r="C25" s="18"/>
      <c r="D25" s="18"/>
      <c r="E25" s="19"/>
      <c r="F25" s="20"/>
      <c r="G25" s="17" t="s">
        <v>24</v>
      </c>
      <c r="H25" s="19"/>
      <c r="I25" s="20"/>
      <c r="J25" s="17"/>
      <c r="K25" s="19"/>
      <c r="L25" s="1"/>
    </row>
    <row r="26" ht="24" customHeight="1" spans="1:12" x14ac:dyDescent="0.25">
      <c r="A26" s="1"/>
      <c r="B26" s="17"/>
      <c r="C26" s="18"/>
      <c r="D26" s="18"/>
      <c r="E26" s="19"/>
      <c r="F26" s="20"/>
      <c r="G26" s="17" t="s">
        <v>24</v>
      </c>
      <c r="H26" s="19"/>
      <c r="I26" s="20"/>
      <c r="J26" s="17"/>
      <c r="K26" s="19"/>
      <c r="L26" s="1"/>
    </row>
    <row r="27" ht="24" customHeight="1" spans="1:12" x14ac:dyDescent="0.25">
      <c r="A27" s="1"/>
      <c r="B27" s="17"/>
      <c r="C27" s="18"/>
      <c r="D27" s="18"/>
      <c r="E27" s="19"/>
      <c r="F27" s="20"/>
      <c r="G27" s="17" t="s">
        <v>24</v>
      </c>
      <c r="H27" s="19"/>
      <c r="I27" s="20"/>
      <c r="J27" s="17"/>
      <c r="K27" s="19"/>
      <c r="L27" s="1"/>
    </row>
    <row r="28" ht="24" customHeight="1" spans="1:12" x14ac:dyDescent="0.25">
      <c r="A28" s="1"/>
      <c r="B28" s="17"/>
      <c r="C28" s="18"/>
      <c r="D28" s="18"/>
      <c r="E28" s="19"/>
      <c r="F28" s="20"/>
      <c r="G28" s="17" t="s">
        <v>24</v>
      </c>
      <c r="H28" s="19"/>
      <c r="I28" s="20"/>
      <c r="J28" s="17"/>
      <c r="K28" s="19"/>
      <c r="L28" s="1"/>
    </row>
    <row r="29" ht="24" customHeight="1" spans="1:12" x14ac:dyDescent="0.25">
      <c r="A29" s="1"/>
      <c r="B29" s="17"/>
      <c r="C29" s="18"/>
      <c r="D29" s="18"/>
      <c r="E29" s="19"/>
      <c r="F29" s="20"/>
      <c r="G29" s="17" t="s">
        <v>24</v>
      </c>
      <c r="H29" s="19"/>
      <c r="I29" s="20"/>
      <c r="J29" s="17"/>
      <c r="K29" s="19"/>
      <c r="L29" s="1"/>
    </row>
    <row r="30" ht="24" customHeight="1" spans="1:12" x14ac:dyDescent="0.25">
      <c r="A30" s="1"/>
      <c r="B30" s="17"/>
      <c r="C30" s="18"/>
      <c r="D30" s="18"/>
      <c r="E30" s="19"/>
      <c r="F30" s="20"/>
      <c r="G30" s="17" t="s">
        <v>24</v>
      </c>
      <c r="H30" s="19"/>
      <c r="I30" s="20"/>
      <c r="J30" s="17"/>
      <c r="K30" s="19"/>
      <c r="L30" s="1"/>
    </row>
    <row r="31" ht="24" customHeight="1" spans="1:12" x14ac:dyDescent="0.25">
      <c r="A31" s="1"/>
      <c r="B31" s="17"/>
      <c r="C31" s="18"/>
      <c r="D31" s="18"/>
      <c r="E31" s="19"/>
      <c r="F31" s="20"/>
      <c r="G31" s="17" t="s">
        <v>24</v>
      </c>
      <c r="H31" s="19"/>
      <c r="I31" s="20"/>
      <c r="J31" s="17"/>
      <c r="K31" s="19"/>
      <c r="L31" s="1"/>
    </row>
    <row r="32" ht="24" customHeight="1" spans="1:12" x14ac:dyDescent="0.25">
      <c r="A32" s="1"/>
      <c r="B32" s="17"/>
      <c r="C32" s="18"/>
      <c r="D32" s="18"/>
      <c r="E32" s="19"/>
      <c r="F32" s="20"/>
      <c r="G32" s="17" t="s">
        <v>24</v>
      </c>
      <c r="H32" s="19"/>
      <c r="I32" s="20"/>
      <c r="J32" s="17"/>
      <c r="K32" s="19"/>
      <c r="L32" s="1"/>
    </row>
    <row r="33" ht="24" customHeight="1" spans="1:12" x14ac:dyDescent="0.25">
      <c r="A33" s="1"/>
      <c r="B33" s="17"/>
      <c r="C33" s="18"/>
      <c r="D33" s="18"/>
      <c r="E33" s="19"/>
      <c r="F33" s="20"/>
      <c r="G33" s="17" t="s">
        <v>24</v>
      </c>
      <c r="H33" s="19"/>
      <c r="I33" s="20"/>
      <c r="J33" s="17"/>
      <c r="K33" s="19"/>
      <c r="L33" s="1"/>
    </row>
    <row r="34" ht="24" customHeight="1" spans="1:12" x14ac:dyDescent="0.25">
      <c r="A34" s="1"/>
      <c r="B34" s="17"/>
      <c r="C34" s="18"/>
      <c r="D34" s="18"/>
      <c r="E34" s="19"/>
      <c r="F34" s="20"/>
      <c r="G34" s="17" t="s">
        <v>24</v>
      </c>
      <c r="H34" s="19"/>
      <c r="I34" s="20"/>
      <c r="J34" s="17"/>
      <c r="K34" s="19"/>
      <c r="L34" s="1"/>
    </row>
    <row r="35" ht="24" customHeight="1" spans="1:12" x14ac:dyDescent="0.25">
      <c r="A35" s="1"/>
      <c r="B35" s="17"/>
      <c r="C35" s="18"/>
      <c r="D35" s="18"/>
      <c r="E35" s="19"/>
      <c r="F35" s="20"/>
      <c r="G35" s="17" t="s">
        <v>24</v>
      </c>
      <c r="H35" s="19"/>
      <c r="I35" s="20"/>
      <c r="J35" s="17"/>
      <c r="K35" s="19"/>
      <c r="L35" s="1"/>
    </row>
    <row r="36" ht="24" customHeight="1" spans="1:12" x14ac:dyDescent="0.25">
      <c r="A36" s="1"/>
      <c r="B36" s="17"/>
      <c r="C36" s="18"/>
      <c r="D36" s="18"/>
      <c r="E36" s="19"/>
      <c r="F36" s="20"/>
      <c r="G36" s="17" t="s">
        <v>24</v>
      </c>
      <c r="H36" s="19"/>
      <c r="I36" s="20"/>
      <c r="J36" s="21"/>
      <c r="K36" s="22"/>
      <c r="L36" s="1"/>
    </row>
    <row r="37" ht="24" customHeight="1" spans="1:12" x14ac:dyDescent="0.25">
      <c r="A37" s="1"/>
      <c r="B37" s="17" t="s">
        <v>25</v>
      </c>
      <c r="C37" s="18"/>
      <c r="D37" s="18"/>
      <c r="E37" s="18"/>
      <c r="F37" s="18"/>
      <c r="G37" s="18"/>
      <c r="H37" s="18"/>
      <c r="I37" s="18"/>
      <c r="J37" s="23"/>
      <c r="K37" s="24"/>
      <c r="L37" s="1"/>
    </row>
    <row r="38" ht="6.75" customHeight="1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82">
    <mergeCell ref="E1:G3"/>
    <mergeCell ref="F7:G7"/>
    <mergeCell ref="B11:E11"/>
    <mergeCell ref="G11:H11"/>
    <mergeCell ref="J11:K11"/>
    <mergeCell ref="B12:E12"/>
    <mergeCell ref="G12:H12"/>
    <mergeCell ref="J12:K12"/>
    <mergeCell ref="B13:E13"/>
    <mergeCell ref="G13:H13"/>
    <mergeCell ref="J13:K13"/>
    <mergeCell ref="B14:E14"/>
    <mergeCell ref="G14:H14"/>
    <mergeCell ref="J14:K14"/>
    <mergeCell ref="B15:E15"/>
    <mergeCell ref="G15:H15"/>
    <mergeCell ref="J15:K15"/>
    <mergeCell ref="B16:E16"/>
    <mergeCell ref="G16:H16"/>
    <mergeCell ref="J16:K16"/>
    <mergeCell ref="B17:E17"/>
    <mergeCell ref="G17:H17"/>
    <mergeCell ref="J17:K17"/>
    <mergeCell ref="B18:E18"/>
    <mergeCell ref="G18:H18"/>
    <mergeCell ref="J18:K18"/>
    <mergeCell ref="B19:E19"/>
    <mergeCell ref="G19:H19"/>
    <mergeCell ref="J19:K19"/>
    <mergeCell ref="B20:E20"/>
    <mergeCell ref="G20:H20"/>
    <mergeCell ref="J20:K20"/>
    <mergeCell ref="B21:E21"/>
    <mergeCell ref="G21:H21"/>
    <mergeCell ref="J21:K21"/>
    <mergeCell ref="B22:E22"/>
    <mergeCell ref="G22:H22"/>
    <mergeCell ref="J22:K22"/>
    <mergeCell ref="B23:E23"/>
    <mergeCell ref="G23:H23"/>
    <mergeCell ref="J23:K23"/>
    <mergeCell ref="B24:E24"/>
    <mergeCell ref="G24:H24"/>
    <mergeCell ref="J24:K24"/>
    <mergeCell ref="B25:E25"/>
    <mergeCell ref="G25:H25"/>
    <mergeCell ref="J25:K25"/>
    <mergeCell ref="B26:E26"/>
    <mergeCell ref="G26:H26"/>
    <mergeCell ref="J26:K26"/>
    <mergeCell ref="B27:E27"/>
    <mergeCell ref="G27:H27"/>
    <mergeCell ref="J27:K27"/>
    <mergeCell ref="B28:E28"/>
    <mergeCell ref="G28:H28"/>
    <mergeCell ref="J28:K28"/>
    <mergeCell ref="B29:E29"/>
    <mergeCell ref="G29:H29"/>
    <mergeCell ref="J29:K29"/>
    <mergeCell ref="B30:E30"/>
    <mergeCell ref="G30:H30"/>
    <mergeCell ref="J30:K30"/>
    <mergeCell ref="B31:E31"/>
    <mergeCell ref="G31:H31"/>
    <mergeCell ref="J31:K31"/>
    <mergeCell ref="B32:E32"/>
    <mergeCell ref="G32:H32"/>
    <mergeCell ref="J32:K32"/>
    <mergeCell ref="B33:E33"/>
    <mergeCell ref="G33:H33"/>
    <mergeCell ref="J33:K33"/>
    <mergeCell ref="B34:E34"/>
    <mergeCell ref="G34:H34"/>
    <mergeCell ref="J34:K34"/>
    <mergeCell ref="B35:E35"/>
    <mergeCell ref="G35:H35"/>
    <mergeCell ref="J35:K35"/>
    <mergeCell ref="B36:E36"/>
    <mergeCell ref="G36:H36"/>
    <mergeCell ref="J36:K36"/>
    <mergeCell ref="B37:I37"/>
    <mergeCell ref="J37:K37"/>
  </mergeCells>
  <pageMargins left="0.7086614173228347" right="0.5118110236220472" top="0.7480314960629921" bottom="0.5511811023622047" header="0.31496062992125984" footer="0.31496062992125984"/>
  <pageSetup paperSize="9" orientation="portrait" horizontalDpi="4294967295" verticalDpi="4294967295" scale="94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"/>
  <sheetViews>
    <sheetView workbookViewId="0" zoomScale="60" zoomScaleNormal="75" view="pageBreakPreview">
      <selection activeCell="J24" sqref="J24"/>
    </sheetView>
  </sheetViews>
  <sheetFormatPr defaultRowHeight="13.5" outlineLevelRow="0" outlineLevelCol="0" x14ac:dyDescent="0.1" defaultColWidth="8.99609375" customHeight="1"/>
  <cols>
    <col min="1" max="1" width="1.2265625" style="25" customWidth="1"/>
    <col min="2" max="2" width="7.90625" style="25" customWidth="1"/>
    <col min="3" max="3" width="13.36328125" style="25" customWidth="1"/>
    <col min="4" max="4" width="2.31640625" style="25" customWidth="1"/>
    <col min="5" max="5" width="8.04296875" style="25" customWidth="1"/>
    <col min="6" max="6" width="9.1328125" style="25" customWidth="1"/>
    <col min="7" max="7" width="15.40625" style="25" customWidth="1"/>
    <col min="8" max="8" width="1.36328125" style="25" customWidth="1"/>
    <col min="9" max="10" width="11.58984375" style="25" customWidth="1"/>
    <col min="11" max="11" width="10.2265625" style="25" customWidth="1"/>
    <col min="12" max="13" width="5.58984375" style="25" customWidth="1"/>
    <col min="14" max="14" width="10.2265625" style="25" customWidth="1"/>
    <col min="15" max="15" width="1.08984375" style="25" customWidth="1"/>
    <col min="16" max="16" width="4.90625" style="25" customWidth="1"/>
    <col min="17" max="17" width="0.953125" style="25" customWidth="1"/>
    <col min="18" max="20" width="8.99609375" style="25" customWidth="1"/>
  </cols>
  <sheetData>
    <row r="1" ht="15" customHeight="1" spans="1:20" x14ac:dyDescent="0.25">
      <c r="A1" s="26"/>
      <c r="B1" s="26"/>
      <c r="C1" s="26"/>
      <c r="D1" s="26"/>
      <c r="E1" s="27" t="s">
        <v>7</v>
      </c>
      <c r="F1" s="27"/>
      <c r="G1" s="27"/>
      <c r="H1" s="27"/>
      <c r="I1" s="27"/>
      <c r="J1" s="27"/>
      <c r="K1" s="28" t="s">
        <v>8</v>
      </c>
      <c r="L1" s="28">
        <v>1</v>
      </c>
      <c r="M1" s="28"/>
      <c r="N1" s="28"/>
      <c r="O1" s="26"/>
      <c r="P1" s="26"/>
      <c r="Q1" s="26"/>
      <c r="R1" s="25"/>
      <c r="S1" s="25"/>
      <c r="T1" s="25"/>
    </row>
    <row r="2" ht="15" customHeight="1" spans="1:20" x14ac:dyDescent="0.25">
      <c r="A2" s="26"/>
      <c r="B2" s="26"/>
      <c r="C2" s="26"/>
      <c r="D2" s="26"/>
      <c r="E2" s="27"/>
      <c r="F2" s="27"/>
      <c r="G2" s="27"/>
      <c r="H2" s="27"/>
      <c r="I2" s="27"/>
      <c r="J2" s="27"/>
      <c r="K2" s="26"/>
      <c r="L2" s="26"/>
      <c r="M2" s="26"/>
      <c r="N2" s="26"/>
      <c r="O2" s="26"/>
      <c r="P2" s="26"/>
      <c r="Q2" s="26"/>
      <c r="R2" s="25"/>
      <c r="S2" s="25"/>
      <c r="T2" s="25"/>
    </row>
    <row r="3" ht="15" customHeight="1" spans="1:20" x14ac:dyDescent="0.25">
      <c r="A3" s="26"/>
      <c r="B3" s="26"/>
      <c r="C3" s="26"/>
      <c r="D3" s="26"/>
      <c r="E3" s="27"/>
      <c r="F3" s="27"/>
      <c r="G3" s="27"/>
      <c r="H3" s="27"/>
      <c r="I3" s="27"/>
      <c r="J3" s="27"/>
      <c r="K3" s="26"/>
      <c r="L3" s="26"/>
      <c r="M3" s="26"/>
      <c r="N3" s="26"/>
      <c r="O3" s="26"/>
      <c r="P3" s="26"/>
      <c r="Q3" s="26"/>
      <c r="R3" s="25"/>
      <c r="S3" s="25"/>
      <c r="T3" s="25"/>
    </row>
    <row r="4" ht="15" customHeight="1" spans="1:20" x14ac:dyDescent="0.25">
      <c r="A4" s="26"/>
      <c r="B4" s="26"/>
      <c r="C4" s="26"/>
      <c r="D4" s="26"/>
      <c r="E4" s="26"/>
      <c r="F4" s="26"/>
      <c r="G4" s="26"/>
      <c r="H4" s="26"/>
      <c r="I4" s="29"/>
      <c r="J4" s="29"/>
      <c r="K4" s="30" t="s">
        <v>9</v>
      </c>
      <c r="L4" s="31" t="s">
        <v>9</v>
      </c>
      <c r="M4" s="31"/>
      <c r="N4" s="30" t="s">
        <v>26</v>
      </c>
      <c r="O4" s="29"/>
      <c r="P4" s="29"/>
      <c r="Q4" s="26"/>
      <c r="R4" s="25"/>
      <c r="S4" s="25"/>
      <c r="T4" s="25"/>
    </row>
    <row r="5" ht="15" customHeight="1" spans="1:20" x14ac:dyDescent="0.25">
      <c r="A5" s="26"/>
      <c r="B5" s="26" t="s">
        <v>10</v>
      </c>
      <c r="C5" s="28" t="s">
        <v>27</v>
      </c>
      <c r="D5" s="26"/>
      <c r="E5" s="26"/>
      <c r="F5" s="26"/>
      <c r="G5" s="26"/>
      <c r="H5" s="26"/>
      <c r="I5" s="29"/>
      <c r="J5" s="29"/>
      <c r="K5" s="33" t="s">
        <v>12</v>
      </c>
      <c r="L5" s="34" t="s">
        <v>11</v>
      </c>
      <c r="M5" s="34"/>
      <c r="N5" s="30"/>
      <c r="O5" s="29"/>
      <c r="P5" s="29"/>
      <c r="Q5" s="26"/>
      <c r="R5" s="25"/>
      <c r="S5" s="25"/>
      <c r="T5" s="25"/>
    </row>
    <row r="6" ht="15" customHeight="1" spans="1:20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36"/>
      <c r="L6" s="37"/>
      <c r="M6" s="38"/>
      <c r="N6" s="39"/>
      <c r="O6" s="26"/>
      <c r="P6" s="26"/>
      <c r="Q6" s="26"/>
      <c r="R6" s="25"/>
      <c r="S6" s="25"/>
      <c r="T6" s="25"/>
    </row>
    <row r="7" ht="15" customHeight="1" spans="1:20" x14ac:dyDescent="0.25">
      <c r="A7" s="26"/>
      <c r="B7" s="26" t="s">
        <v>13</v>
      </c>
      <c r="C7" s="28" t="s">
        <v>28</v>
      </c>
      <c r="D7" s="26"/>
      <c r="E7" s="28" t="s">
        <v>14</v>
      </c>
      <c r="F7" s="40" t="s">
        <v>79</v>
      </c>
      <c r="G7" s="40"/>
      <c r="H7" s="26"/>
      <c r="I7" s="26"/>
      <c r="J7" s="26"/>
      <c r="K7" s="36"/>
      <c r="L7" s="36"/>
      <c r="M7" s="39"/>
      <c r="N7" s="39"/>
      <c r="O7" s="26"/>
      <c r="P7" s="26"/>
      <c r="Q7" s="26"/>
      <c r="R7" s="25"/>
      <c r="S7" s="25"/>
      <c r="T7" s="25"/>
    </row>
    <row r="8" ht="15" customHeight="1" spans="1:20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36"/>
      <c r="L8" s="36"/>
      <c r="M8" s="39"/>
      <c r="N8" s="39"/>
      <c r="O8" s="26"/>
      <c r="P8" s="26"/>
      <c r="Q8" s="26"/>
      <c r="R8" s="25"/>
      <c r="S8" s="25"/>
      <c r="T8" s="25"/>
    </row>
    <row r="9" ht="15" customHeight="1" spans="1:20" x14ac:dyDescent="0.25">
      <c r="A9" s="26"/>
      <c r="B9" s="26" t="s">
        <v>16</v>
      </c>
      <c r="C9" s="41" t="s">
        <v>30</v>
      </c>
      <c r="D9" s="26"/>
      <c r="E9" s="40" t="s">
        <v>31</v>
      </c>
      <c r="F9" s="28"/>
      <c r="G9" s="28"/>
      <c r="H9" s="26"/>
      <c r="I9" s="26"/>
      <c r="J9" s="26"/>
      <c r="K9" s="42"/>
      <c r="L9" s="42"/>
      <c r="M9" s="43"/>
      <c r="N9" s="43"/>
      <c r="O9" s="26"/>
      <c r="P9" s="26"/>
      <c r="Q9" s="26"/>
      <c r="R9" s="25"/>
      <c r="S9" s="25"/>
      <c r="T9" s="25"/>
    </row>
    <row r="10" spans="1:20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5"/>
      <c r="S10" s="25"/>
      <c r="T10" s="25"/>
    </row>
    <row r="11" ht="24" customHeight="1" spans="1:20" x14ac:dyDescent="0.25">
      <c r="A11" s="26"/>
      <c r="B11" s="44" t="s">
        <v>19</v>
      </c>
      <c r="C11" s="44"/>
      <c r="D11" s="44"/>
      <c r="E11" s="44"/>
      <c r="F11" s="47" t="s">
        <v>20</v>
      </c>
      <c r="G11" s="44" t="s">
        <v>21</v>
      </c>
      <c r="H11" s="44"/>
      <c r="I11" s="47" t="s">
        <v>32</v>
      </c>
      <c r="J11" s="44" t="s">
        <v>22</v>
      </c>
      <c r="K11" s="44" t="s">
        <v>33</v>
      </c>
      <c r="L11" s="44"/>
      <c r="M11" s="44" t="s">
        <v>34</v>
      </c>
      <c r="N11" s="44"/>
      <c r="O11" s="29"/>
      <c r="P11" s="48" t="s">
        <v>35</v>
      </c>
      <c r="Q11" s="26"/>
      <c r="R11" s="25"/>
      <c r="S11" s="25"/>
      <c r="T11" s="25"/>
    </row>
    <row r="12" ht="30.75" customHeight="1" spans="1:20" x14ac:dyDescent="0.25">
      <c r="A12" s="26"/>
      <c r="B12" s="44" t="s">
        <v>80</v>
      </c>
      <c r="C12" s="44"/>
      <c r="D12" s="44"/>
      <c r="E12" s="44"/>
      <c r="F12" s="49">
        <v>5</v>
      </c>
      <c r="G12" s="44" t="s">
        <v>37</v>
      </c>
      <c r="H12" s="44"/>
      <c r="I12" s="49">
        <v>4800</v>
      </c>
      <c r="J12" s="50">
        <v>6500</v>
      </c>
      <c r="K12" s="50">
        <f>F12*I12</f>
        <v>24000</v>
      </c>
      <c r="L12" s="51"/>
      <c r="M12" s="45"/>
      <c r="N12" s="51">
        <f>F12*J12</f>
        <v>32500</v>
      </c>
      <c r="O12" s="29"/>
      <c r="P12" s="47"/>
      <c r="Q12" s="26"/>
      <c r="R12" s="25"/>
      <c r="S12" s="25"/>
      <c r="T12" s="25"/>
    </row>
    <row r="13" ht="30.75" customHeight="1" spans="1:20" x14ac:dyDescent="0.25">
      <c r="A13" s="26"/>
      <c r="B13" s="44" t="s">
        <v>81</v>
      </c>
      <c r="C13" s="44"/>
      <c r="D13" s="44"/>
      <c r="E13" s="44"/>
      <c r="F13" s="49">
        <v>10</v>
      </c>
      <c r="G13" s="44" t="s">
        <v>37</v>
      </c>
      <c r="H13" s="44"/>
      <c r="I13" s="49">
        <v>6500</v>
      </c>
      <c r="J13" s="50">
        <v>9500</v>
      </c>
      <c r="K13" s="50">
        <f t="shared" ref="K13:K36" si="0">F13*I13</f>
        <v>65000</v>
      </c>
      <c r="L13" s="51"/>
      <c r="M13" s="52"/>
      <c r="N13" s="51">
        <f t="shared" ref="N13:N36" si="1">F13*J13</f>
        <v>95000</v>
      </c>
      <c r="O13" s="29"/>
      <c r="P13" s="47"/>
      <c r="Q13" s="26"/>
      <c r="R13" s="25"/>
      <c r="S13" s="25"/>
      <c r="T13" s="25"/>
    </row>
    <row r="14" ht="30.75" customHeight="1" spans="1:20" x14ac:dyDescent="0.25">
      <c r="A14" s="26"/>
      <c r="B14" s="44" t="s">
        <v>82</v>
      </c>
      <c r="C14" s="44"/>
      <c r="D14" s="44"/>
      <c r="E14" s="44"/>
      <c r="F14" s="49">
        <v>64</v>
      </c>
      <c r="G14" s="44" t="s">
        <v>37</v>
      </c>
      <c r="H14" s="44"/>
      <c r="I14" s="49">
        <v>407</v>
      </c>
      <c r="J14" s="50">
        <v>599</v>
      </c>
      <c r="K14" s="50">
        <f t="shared" si="0"/>
        <v>26048</v>
      </c>
      <c r="L14" s="51"/>
      <c r="M14" s="52"/>
      <c r="N14" s="51">
        <f t="shared" si="1"/>
        <v>38336</v>
      </c>
      <c r="O14" s="29"/>
      <c r="P14" s="47"/>
      <c r="Q14" s="26"/>
      <c r="R14" s="25"/>
      <c r="S14" s="25"/>
      <c r="T14" s="25"/>
    </row>
    <row r="15" ht="30.75" customHeight="1" spans="1:20" x14ac:dyDescent="0.25">
      <c r="A15" s="26"/>
      <c r="B15" s="44" t="s">
        <v>83</v>
      </c>
      <c r="C15" s="44"/>
      <c r="D15" s="44"/>
      <c r="E15" s="44"/>
      <c r="F15" s="49">
        <v>6</v>
      </c>
      <c r="G15" s="44" t="s">
        <v>37</v>
      </c>
      <c r="H15" s="44"/>
      <c r="I15" s="49">
        <v>735</v>
      </c>
      <c r="J15" s="50">
        <v>990</v>
      </c>
      <c r="K15" s="50">
        <f t="shared" si="0"/>
        <v>4410</v>
      </c>
      <c r="L15" s="51"/>
      <c r="M15" s="52"/>
      <c r="N15" s="51">
        <f>F15*J15</f>
        <v>5940</v>
      </c>
      <c r="O15" s="29"/>
      <c r="P15" s="47"/>
      <c r="Q15" s="26"/>
      <c r="R15" s="25"/>
      <c r="S15" s="25"/>
      <c r="T15" s="25"/>
    </row>
    <row r="16" ht="30.75" customHeight="1" spans="1:20" x14ac:dyDescent="0.25">
      <c r="A16" s="26"/>
      <c r="B16" s="44" t="s">
        <v>84</v>
      </c>
      <c r="C16" s="44"/>
      <c r="D16" s="44"/>
      <c r="E16" s="44"/>
      <c r="F16" s="49">
        <v>18</v>
      </c>
      <c r="G16" s="44" t="s">
        <v>37</v>
      </c>
      <c r="H16" s="44"/>
      <c r="I16" s="49">
        <v>450</v>
      </c>
      <c r="J16" s="50">
        <v>499</v>
      </c>
      <c r="K16" s="50">
        <f t="shared" si="0"/>
        <v>8100</v>
      </c>
      <c r="L16" s="51"/>
      <c r="M16" s="52"/>
      <c r="N16" s="51">
        <f t="shared" si="1"/>
        <v>8982</v>
      </c>
      <c r="O16" s="29"/>
      <c r="P16" s="47"/>
      <c r="Q16" s="26"/>
      <c r="R16" s="25"/>
      <c r="S16" s="25"/>
      <c r="T16" s="25"/>
    </row>
    <row r="17" ht="30.75" customHeight="1" spans="1:20" x14ac:dyDescent="0.25">
      <c r="A17" s="26"/>
      <c r="B17" s="44" t="s">
        <v>85</v>
      </c>
      <c r="C17" s="44"/>
      <c r="D17" s="44"/>
      <c r="E17" s="44"/>
      <c r="F17" s="49">
        <v>30</v>
      </c>
      <c r="G17" s="44" t="s">
        <v>37</v>
      </c>
      <c r="H17" s="44"/>
      <c r="I17" s="49">
        <v>390</v>
      </c>
      <c r="J17" s="50">
        <v>499</v>
      </c>
      <c r="K17" s="50">
        <f t="shared" si="0"/>
        <v>11700</v>
      </c>
      <c r="L17" s="51"/>
      <c r="M17" s="52"/>
      <c r="N17" s="51">
        <f t="shared" si="1"/>
        <v>14970</v>
      </c>
      <c r="O17" s="29"/>
      <c r="P17" s="47"/>
      <c r="Q17" s="26"/>
      <c r="R17" s="25"/>
      <c r="S17" s="25"/>
      <c r="T17" s="25"/>
    </row>
    <row r="18" ht="30.75" customHeight="1" spans="1:20" x14ac:dyDescent="0.25">
      <c r="A18" s="26"/>
      <c r="B18" s="44" t="s">
        <v>86</v>
      </c>
      <c r="C18" s="44"/>
      <c r="D18" s="44"/>
      <c r="E18" s="44"/>
      <c r="F18" s="49">
        <v>20</v>
      </c>
      <c r="G18" s="44" t="s">
        <v>37</v>
      </c>
      <c r="H18" s="44"/>
      <c r="I18" s="49">
        <v>450</v>
      </c>
      <c r="J18" s="50">
        <v>599</v>
      </c>
      <c r="K18" s="50">
        <f t="shared" si="0"/>
        <v>9000</v>
      </c>
      <c r="L18" s="51"/>
      <c r="M18" s="52"/>
      <c r="N18" s="51">
        <f t="shared" si="1"/>
        <v>11980</v>
      </c>
      <c r="O18" s="29"/>
      <c r="P18" s="47"/>
      <c r="Q18" s="26"/>
      <c r="R18" s="25"/>
      <c r="S18" s="25"/>
      <c r="T18" s="25"/>
    </row>
    <row r="19" ht="30.75" customHeight="1" spans="1:20" x14ac:dyDescent="0.25">
      <c r="A19" s="26"/>
      <c r="B19" s="44" t="s">
        <v>87</v>
      </c>
      <c r="C19" s="44"/>
      <c r="D19" s="44"/>
      <c r="E19" s="44"/>
      <c r="F19" s="49">
        <v>6</v>
      </c>
      <c r="G19" s="44" t="s">
        <v>37</v>
      </c>
      <c r="H19" s="44"/>
      <c r="I19" s="49">
        <v>635</v>
      </c>
      <c r="J19" s="50">
        <v>799</v>
      </c>
      <c r="K19" s="50">
        <f t="shared" si="0"/>
        <v>3810</v>
      </c>
      <c r="L19" s="51"/>
      <c r="M19" s="52"/>
      <c r="N19" s="51">
        <f t="shared" si="1"/>
        <v>4794</v>
      </c>
      <c r="O19" s="29"/>
      <c r="P19" s="47"/>
      <c r="Q19" s="26"/>
      <c r="R19" s="25"/>
      <c r="S19" s="25"/>
      <c r="T19" s="25"/>
    </row>
    <row r="20" ht="30.75" customHeight="1" spans="1:20" x14ac:dyDescent="0.25">
      <c r="A20" s="26"/>
      <c r="B20" s="44" t="s">
        <v>88</v>
      </c>
      <c r="C20" s="44"/>
      <c r="D20" s="44"/>
      <c r="E20" s="44"/>
      <c r="F20" s="49">
        <v>9</v>
      </c>
      <c r="G20" s="44" t="s">
        <v>37</v>
      </c>
      <c r="H20" s="44"/>
      <c r="I20" s="49">
        <v>450</v>
      </c>
      <c r="J20" s="50">
        <v>599</v>
      </c>
      <c r="K20" s="50">
        <f t="shared" si="0"/>
        <v>4050</v>
      </c>
      <c r="L20" s="51"/>
      <c r="M20" s="52"/>
      <c r="N20" s="51">
        <f t="shared" si="1"/>
        <v>5391</v>
      </c>
      <c r="O20" s="29"/>
      <c r="P20" s="47"/>
      <c r="Q20" s="26"/>
      <c r="R20" s="25"/>
      <c r="S20" s="25"/>
      <c r="T20" s="25"/>
    </row>
    <row r="21" ht="30.75" customHeight="1" spans="1:20" x14ac:dyDescent="0.25">
      <c r="A21" s="26"/>
      <c r="B21" s="44" t="s">
        <v>89</v>
      </c>
      <c r="C21" s="44"/>
      <c r="D21" s="44"/>
      <c r="E21" s="44"/>
      <c r="F21" s="49">
        <v>5</v>
      </c>
      <c r="G21" s="44" t="s">
        <v>37</v>
      </c>
      <c r="H21" s="44"/>
      <c r="I21" s="49">
        <v>450</v>
      </c>
      <c r="J21" s="50">
        <v>599</v>
      </c>
      <c r="K21" s="50">
        <f t="shared" si="0"/>
        <v>2250</v>
      </c>
      <c r="L21" s="51"/>
      <c r="M21" s="52"/>
      <c r="N21" s="51">
        <f t="shared" si="1"/>
        <v>2995</v>
      </c>
      <c r="O21" s="29"/>
      <c r="P21" s="47"/>
      <c r="Q21" s="26"/>
      <c r="R21" s="25"/>
      <c r="S21" s="25"/>
      <c r="T21" s="25"/>
    </row>
    <row r="22" ht="30.75" customHeight="1" spans="1:20" x14ac:dyDescent="0.25">
      <c r="A22" s="26"/>
      <c r="B22" s="44" t="s">
        <v>90</v>
      </c>
      <c r="C22" s="44"/>
      <c r="D22" s="44"/>
      <c r="E22" s="44"/>
      <c r="F22" s="49">
        <v>36</v>
      </c>
      <c r="G22" s="44" t="s">
        <v>37</v>
      </c>
      <c r="H22" s="44"/>
      <c r="I22" s="49">
        <v>475</v>
      </c>
      <c r="J22" s="50">
        <v>599</v>
      </c>
      <c r="K22" s="50">
        <f t="shared" si="0"/>
        <v>17100</v>
      </c>
      <c r="L22" s="51"/>
      <c r="M22" s="52"/>
      <c r="N22" s="51">
        <f t="shared" si="1"/>
        <v>21564</v>
      </c>
      <c r="O22" s="29"/>
      <c r="P22" s="47"/>
      <c r="Q22" s="26"/>
      <c r="R22" s="25"/>
      <c r="S22" s="25"/>
      <c r="T22" s="25"/>
    </row>
    <row r="23" ht="30.75" customHeight="1" spans="1:20" x14ac:dyDescent="0.25">
      <c r="A23" s="26"/>
      <c r="B23" s="44" t="s">
        <v>91</v>
      </c>
      <c r="C23" s="44"/>
      <c r="D23" s="44"/>
      <c r="E23" s="44"/>
      <c r="F23" s="49">
        <v>1</v>
      </c>
      <c r="G23" s="44" t="s">
        <v>37</v>
      </c>
      <c r="H23" s="44"/>
      <c r="I23" s="49">
        <v>5800</v>
      </c>
      <c r="J23" s="50">
        <v>6360</v>
      </c>
      <c r="K23" s="50">
        <f t="shared" si="0"/>
        <v>5800</v>
      </c>
      <c r="L23" s="51"/>
      <c r="M23" s="52"/>
      <c r="N23" s="51">
        <f t="shared" si="1"/>
        <v>6360</v>
      </c>
      <c r="O23" s="29"/>
      <c r="P23" s="47"/>
      <c r="Q23" s="26"/>
      <c r="R23" s="25"/>
      <c r="S23" s="25"/>
      <c r="T23" s="25"/>
    </row>
    <row r="24" ht="30.75" customHeight="1" spans="1:20" x14ac:dyDescent="0.25">
      <c r="A24" s="26"/>
      <c r="B24" s="44" t="s">
        <v>92</v>
      </c>
      <c r="C24" s="44"/>
      <c r="D24" s="44"/>
      <c r="E24" s="44"/>
      <c r="F24" s="49">
        <v>1</v>
      </c>
      <c r="G24" s="44" t="s">
        <v>37</v>
      </c>
      <c r="H24" s="44"/>
      <c r="I24" s="49">
        <v>7500</v>
      </c>
      <c r="J24" s="50">
        <v>9000</v>
      </c>
      <c r="K24" s="50">
        <f t="shared" si="0"/>
        <v>7500</v>
      </c>
      <c r="L24" s="51"/>
      <c r="M24" s="52"/>
      <c r="N24" s="51">
        <f t="shared" si="1"/>
        <v>9000</v>
      </c>
      <c r="O24" s="29"/>
      <c r="P24" s="47"/>
      <c r="Q24" s="26"/>
      <c r="R24" s="25"/>
      <c r="S24" s="25"/>
      <c r="T24" s="25"/>
    </row>
    <row r="25" ht="30.75" customHeight="1" spans="1:20" x14ac:dyDescent="0.25">
      <c r="A25" s="26"/>
      <c r="B25" s="44"/>
      <c r="C25" s="44"/>
      <c r="D25" s="44"/>
      <c r="E25" s="44"/>
      <c r="F25" s="49"/>
      <c r="G25" s="44" t="s">
        <v>37</v>
      </c>
      <c r="H25" s="44"/>
      <c r="I25" s="49"/>
      <c r="J25" s="50"/>
      <c r="K25" s="50">
        <f t="shared" si="0"/>
      </c>
      <c r="L25" s="51"/>
      <c r="M25" s="52"/>
      <c r="N25" s="51">
        <f>F25*J25</f>
      </c>
      <c r="O25" s="29"/>
      <c r="P25" s="47"/>
      <c r="Q25" s="26"/>
      <c r="R25" s="25"/>
      <c r="S25" s="25"/>
      <c r="T25" s="25"/>
    </row>
    <row r="26" ht="30.75" customHeight="1" spans="1:20" x14ac:dyDescent="0.25">
      <c r="A26" s="26"/>
      <c r="B26" s="44"/>
      <c r="C26" s="44"/>
      <c r="D26" s="44"/>
      <c r="E26" s="44"/>
      <c r="F26" s="49"/>
      <c r="G26" s="44" t="s">
        <v>37</v>
      </c>
      <c r="H26" s="44"/>
      <c r="I26" s="49"/>
      <c r="J26" s="50"/>
      <c r="K26" s="50">
        <f t="shared" si="0"/>
      </c>
      <c r="L26" s="51"/>
      <c r="M26" s="52"/>
      <c r="N26" s="51">
        <f t="shared" si="1"/>
      </c>
      <c r="O26" s="29"/>
      <c r="P26" s="47"/>
      <c r="Q26" s="26"/>
      <c r="R26" s="25"/>
      <c r="S26" s="25"/>
      <c r="T26" s="25"/>
    </row>
    <row r="27" ht="30.75" customHeight="1" spans="1:20" x14ac:dyDescent="0.25">
      <c r="A27" s="26"/>
      <c r="B27" s="44"/>
      <c r="C27" s="44"/>
      <c r="D27" s="44"/>
      <c r="E27" s="44"/>
      <c r="F27" s="49"/>
      <c r="G27" s="44" t="s">
        <v>37</v>
      </c>
      <c r="H27" s="44"/>
      <c r="I27" s="49"/>
      <c r="J27" s="50"/>
      <c r="K27" s="50">
        <f t="shared" si="0"/>
      </c>
      <c r="L27" s="51"/>
      <c r="M27" s="52"/>
      <c r="N27" s="51">
        <f>F27*J27</f>
      </c>
      <c r="O27" s="29"/>
      <c r="P27" s="47"/>
      <c r="Q27" s="26"/>
      <c r="R27" s="25"/>
      <c r="S27" s="25"/>
      <c r="T27" s="25"/>
    </row>
    <row r="28" ht="30.75" customHeight="1" spans="1:20" x14ac:dyDescent="0.25">
      <c r="A28" s="26"/>
      <c r="B28" s="44"/>
      <c r="C28" s="44"/>
      <c r="D28" s="44"/>
      <c r="E28" s="44"/>
      <c r="F28" s="49"/>
      <c r="G28" s="44" t="s">
        <v>37</v>
      </c>
      <c r="H28" s="44"/>
      <c r="I28" s="49"/>
      <c r="J28" s="50"/>
      <c r="K28" s="50">
        <f t="shared" si="0"/>
      </c>
      <c r="L28" s="51"/>
      <c r="M28" s="52"/>
      <c r="N28" s="51">
        <f t="shared" si="1"/>
      </c>
      <c r="O28" s="29"/>
      <c r="P28" s="47"/>
      <c r="Q28" s="26"/>
      <c r="R28" s="25"/>
      <c r="S28" s="25"/>
      <c r="T28" s="25"/>
    </row>
    <row r="29" ht="30.75" customHeight="1" spans="1:20" x14ac:dyDescent="0.25">
      <c r="A29" s="26"/>
      <c r="B29" s="44"/>
      <c r="C29" s="44"/>
      <c r="D29" s="44"/>
      <c r="E29" s="44"/>
      <c r="F29" s="49"/>
      <c r="G29" s="44" t="s">
        <v>37</v>
      </c>
      <c r="H29" s="44"/>
      <c r="I29" s="49"/>
      <c r="J29" s="50"/>
      <c r="K29" s="50">
        <f t="shared" si="0"/>
      </c>
      <c r="L29" s="51"/>
      <c r="M29" s="52"/>
      <c r="N29" s="51">
        <f t="shared" si="1"/>
      </c>
      <c r="O29" s="29"/>
      <c r="P29" s="47"/>
      <c r="Q29" s="26"/>
      <c r="R29" s="25"/>
      <c r="S29" s="25"/>
      <c r="T29" s="25"/>
    </row>
    <row r="30" ht="30.75" customHeight="1" spans="1:20" x14ac:dyDescent="0.25">
      <c r="A30" s="26"/>
      <c r="B30" s="44"/>
      <c r="C30" s="44"/>
      <c r="D30" s="44"/>
      <c r="E30" s="44"/>
      <c r="F30" s="49"/>
      <c r="G30" s="44" t="s">
        <v>37</v>
      </c>
      <c r="H30" s="44"/>
      <c r="I30" s="49"/>
      <c r="J30" s="50"/>
      <c r="K30" s="50">
        <f t="shared" si="0"/>
      </c>
      <c r="L30" s="51"/>
      <c r="M30" s="52"/>
      <c r="N30" s="51">
        <f t="shared" si="1"/>
      </c>
      <c r="O30" s="29"/>
      <c r="P30" s="47"/>
      <c r="Q30" s="26"/>
      <c r="R30" s="25"/>
      <c r="S30" s="25"/>
      <c r="T30" s="25"/>
    </row>
    <row r="31" ht="30.75" customHeight="1" spans="1:20" x14ac:dyDescent="0.25">
      <c r="A31" s="26"/>
      <c r="B31" s="44"/>
      <c r="C31" s="44"/>
      <c r="D31" s="44"/>
      <c r="E31" s="44"/>
      <c r="F31" s="49"/>
      <c r="G31" s="44" t="s">
        <v>37</v>
      </c>
      <c r="H31" s="44"/>
      <c r="I31" s="49"/>
      <c r="J31" s="50"/>
      <c r="K31" s="50">
        <f t="shared" si="0"/>
      </c>
      <c r="L31" s="51"/>
      <c r="M31" s="52"/>
      <c r="N31" s="51">
        <f t="shared" si="1"/>
      </c>
      <c r="O31" s="29"/>
      <c r="P31" s="47"/>
      <c r="Q31" s="26"/>
      <c r="R31" s="25"/>
      <c r="S31" s="25"/>
      <c r="T31" s="25"/>
    </row>
    <row r="32" ht="30.75" customHeight="1" spans="1:20" x14ac:dyDescent="0.25">
      <c r="A32" s="26"/>
      <c r="B32" s="44"/>
      <c r="C32" s="44"/>
      <c r="D32" s="44"/>
      <c r="E32" s="44"/>
      <c r="F32" s="49"/>
      <c r="G32" s="44" t="s">
        <v>37</v>
      </c>
      <c r="H32" s="44"/>
      <c r="I32" s="49"/>
      <c r="J32" s="50"/>
      <c r="K32" s="50">
        <f t="shared" si="0"/>
      </c>
      <c r="L32" s="51"/>
      <c r="M32" s="52"/>
      <c r="N32" s="51">
        <f t="shared" si="1"/>
      </c>
      <c r="O32" s="29"/>
      <c r="P32" s="47"/>
      <c r="Q32" s="26"/>
      <c r="R32" s="25"/>
      <c r="S32" s="25"/>
      <c r="T32" s="25"/>
    </row>
    <row r="33" ht="30.75" customHeight="1" spans="1:20" x14ac:dyDescent="0.25">
      <c r="A33" s="26"/>
      <c r="B33" s="44"/>
      <c r="C33" s="44"/>
      <c r="D33" s="44"/>
      <c r="E33" s="44"/>
      <c r="F33" s="49"/>
      <c r="G33" s="44" t="s">
        <v>37</v>
      </c>
      <c r="H33" s="44"/>
      <c r="I33" s="49"/>
      <c r="J33" s="50"/>
      <c r="K33" s="50">
        <f t="shared" si="0"/>
      </c>
      <c r="L33" s="51"/>
      <c r="M33" s="52"/>
      <c r="N33" s="51">
        <f t="shared" si="1"/>
      </c>
      <c r="O33" s="29"/>
      <c r="P33" s="47"/>
      <c r="Q33" s="26"/>
      <c r="R33" s="25"/>
      <c r="S33" s="25"/>
      <c r="T33" s="25"/>
    </row>
    <row r="34" ht="30.75" customHeight="1" spans="1:20" x14ac:dyDescent="0.25">
      <c r="A34" s="26"/>
      <c r="B34" s="44"/>
      <c r="C34" s="44"/>
      <c r="D34" s="44"/>
      <c r="E34" s="44"/>
      <c r="F34" s="49"/>
      <c r="G34" s="44" t="s">
        <v>37</v>
      </c>
      <c r="H34" s="44"/>
      <c r="I34" s="49"/>
      <c r="J34" s="50"/>
      <c r="K34" s="50">
        <f t="shared" si="0"/>
      </c>
      <c r="L34" s="51"/>
      <c r="M34" s="52"/>
      <c r="N34" s="51">
        <f t="shared" si="1"/>
      </c>
      <c r="O34" s="29"/>
      <c r="P34" s="47"/>
      <c r="Q34" s="26"/>
      <c r="R34" s="25"/>
      <c r="S34" s="25"/>
      <c r="T34" s="25"/>
    </row>
    <row r="35" ht="30.75" customHeight="1" spans="1:20" x14ac:dyDescent="0.25">
      <c r="A35" s="26"/>
      <c r="B35" s="44"/>
      <c r="C35" s="44"/>
      <c r="D35" s="44"/>
      <c r="E35" s="44"/>
      <c r="F35" s="49"/>
      <c r="G35" s="44" t="s">
        <v>37</v>
      </c>
      <c r="H35" s="44"/>
      <c r="I35" s="49"/>
      <c r="J35" s="50"/>
      <c r="K35" s="50">
        <f t="shared" si="0"/>
      </c>
      <c r="L35" s="51"/>
      <c r="M35" s="52"/>
      <c r="N35" s="51">
        <f t="shared" si="1"/>
      </c>
      <c r="O35" s="29"/>
      <c r="P35" s="47"/>
      <c r="Q35" s="26"/>
      <c r="R35" s="25"/>
      <c r="S35" s="25"/>
      <c r="T35" s="25"/>
    </row>
    <row r="36" ht="30.75" customHeight="1" spans="1:20" x14ac:dyDescent="0.25">
      <c r="A36" s="26"/>
      <c r="B36" s="44"/>
      <c r="C36" s="44"/>
      <c r="D36" s="44"/>
      <c r="E36" s="44"/>
      <c r="F36" s="49"/>
      <c r="G36" s="44" t="s">
        <v>37</v>
      </c>
      <c r="H36" s="44"/>
      <c r="I36" s="49"/>
      <c r="J36" s="50"/>
      <c r="K36" s="50">
        <f t="shared" si="0"/>
      </c>
      <c r="L36" s="38"/>
      <c r="M36" s="53"/>
      <c r="N36" s="51">
        <f t="shared" si="1"/>
      </c>
      <c r="O36" s="29"/>
      <c r="P36" s="47"/>
      <c r="Q36" s="26"/>
      <c r="R36" s="25"/>
      <c r="S36" s="25"/>
      <c r="T36" s="25"/>
    </row>
    <row r="37" ht="26.25" customHeight="1" spans="1:20" x14ac:dyDescent="0.25">
      <c r="A37" s="26"/>
      <c r="B37" s="44"/>
      <c r="C37" s="44"/>
      <c r="D37" s="44"/>
      <c r="E37" s="44"/>
      <c r="F37" s="44"/>
      <c r="G37" s="44"/>
      <c r="H37" s="44"/>
      <c r="I37" s="44"/>
      <c r="J37" s="45"/>
      <c r="K37" s="54">
        <f>SUM(K12:K36)</f>
        <v>188768</v>
      </c>
      <c r="L37" s="54"/>
      <c r="M37" s="56"/>
      <c r="N37" s="57">
        <f>SUM(N12:N36)</f>
        <v>257812</v>
      </c>
      <c r="O37" s="29"/>
      <c r="P37" s="29"/>
      <c r="Q37" s="26"/>
      <c r="R37" s="25"/>
      <c r="S37" s="25"/>
      <c r="T37" s="25"/>
    </row>
    <row r="38" ht="15" customHeight="1" spans="1:20" x14ac:dyDescent="0.25">
      <c r="A38" s="26"/>
      <c r="B38" s="26"/>
      <c r="C38" s="26"/>
      <c r="D38" s="26"/>
      <c r="E38" s="27" t="s">
        <v>7</v>
      </c>
      <c r="F38" s="27"/>
      <c r="G38" s="27"/>
      <c r="H38" s="27"/>
      <c r="I38" s="27"/>
      <c r="J38" s="27"/>
      <c r="K38" s="28" t="s">
        <v>8</v>
      </c>
      <c r="L38" s="28">
        <v>2</v>
      </c>
      <c r="M38" s="28"/>
      <c r="N38" s="28"/>
      <c r="O38" s="26"/>
      <c r="P38" s="26"/>
      <c r="Q38" s="26"/>
      <c r="R38" s="25"/>
      <c r="S38" s="25"/>
      <c r="T38" s="25"/>
    </row>
    <row r="39" ht="15" customHeight="1" spans="1:20" x14ac:dyDescent="0.25">
      <c r="A39" s="26"/>
      <c r="B39" s="26"/>
      <c r="C39" s="26"/>
      <c r="D39" s="26"/>
      <c r="E39" s="27"/>
      <c r="F39" s="27"/>
      <c r="G39" s="27"/>
      <c r="H39" s="27"/>
      <c r="I39" s="27"/>
      <c r="J39" s="27"/>
      <c r="K39" s="26"/>
      <c r="L39" s="26"/>
      <c r="M39" s="26"/>
      <c r="N39" s="26"/>
      <c r="O39" s="26"/>
      <c r="P39" s="26"/>
      <c r="Q39" s="26"/>
      <c r="R39" s="25"/>
      <c r="S39" s="25"/>
      <c r="T39" s="25"/>
    </row>
    <row r="40" ht="15" customHeight="1" spans="1:20" x14ac:dyDescent="0.25">
      <c r="A40" s="26"/>
      <c r="B40" s="26"/>
      <c r="C40" s="26"/>
      <c r="D40" s="26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  <c r="R40" s="25"/>
      <c r="S40" s="25"/>
      <c r="T40" s="25"/>
    </row>
    <row r="41" ht="15" customHeight="1" spans="1:20" x14ac:dyDescent="0.25">
      <c r="A41" s="26"/>
      <c r="B41" s="26"/>
      <c r="C41" s="26"/>
      <c r="D41" s="26"/>
      <c r="E41" s="26"/>
      <c r="F41" s="26"/>
      <c r="G41" s="26"/>
      <c r="H41" s="26"/>
      <c r="I41" s="29"/>
      <c r="J41" s="29"/>
      <c r="K41" s="30" t="s">
        <v>9</v>
      </c>
      <c r="L41" s="31" t="s">
        <v>9</v>
      </c>
      <c r="M41" s="31"/>
      <c r="N41" s="30" t="s">
        <v>26</v>
      </c>
      <c r="O41" s="29"/>
      <c r="P41" s="29"/>
      <c r="Q41" s="26"/>
      <c r="R41" s="25"/>
      <c r="S41" s="25"/>
      <c r="T41" s="25"/>
    </row>
    <row r="42" ht="15" customHeight="1" spans="1:20" x14ac:dyDescent="0.25">
      <c r="A42" s="26"/>
      <c r="B42" s="26" t="s">
        <v>10</v>
      </c>
      <c r="C42" s="28" t="s">
        <v>27</v>
      </c>
      <c r="D42" s="26"/>
      <c r="E42" s="26"/>
      <c r="F42" s="26"/>
      <c r="G42" s="26"/>
      <c r="H42" s="26"/>
      <c r="I42" s="29"/>
      <c r="J42" s="29"/>
      <c r="K42" s="33" t="s">
        <v>12</v>
      </c>
      <c r="L42" s="34" t="s">
        <v>11</v>
      </c>
      <c r="M42" s="34"/>
      <c r="N42" s="30"/>
      <c r="O42" s="29"/>
      <c r="P42" s="29"/>
      <c r="Q42" s="26"/>
      <c r="R42" s="25"/>
      <c r="S42" s="25"/>
      <c r="T42" s="25"/>
    </row>
    <row r="43" ht="15" customHeight="1" spans="1:20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6"/>
      <c r="L43" s="37"/>
      <c r="M43" s="38"/>
      <c r="N43" s="39"/>
      <c r="O43" s="26"/>
      <c r="P43" s="26"/>
      <c r="Q43" s="26"/>
      <c r="R43" s="25"/>
      <c r="S43" s="25"/>
      <c r="T43" s="25"/>
    </row>
    <row r="44" ht="15" customHeight="1" spans="1:20" x14ac:dyDescent="0.25">
      <c r="A44" s="26"/>
      <c r="B44" s="26" t="s">
        <v>13</v>
      </c>
      <c r="C44" s="28" t="s">
        <v>28</v>
      </c>
      <c r="D44" s="26"/>
      <c r="E44" s="28" t="s">
        <v>14</v>
      </c>
      <c r="F44" s="40" t="str">
        <f>F7</f>
        <v>         2026年 　　2月28日</v>
      </c>
      <c r="G44" s="40"/>
      <c r="H44" s="26"/>
      <c r="I44" s="26"/>
      <c r="J44" s="26"/>
      <c r="K44" s="36"/>
      <c r="L44" s="36"/>
      <c r="M44" s="39"/>
      <c r="N44" s="39"/>
      <c r="O44" s="26"/>
      <c r="P44" s="26"/>
      <c r="Q44" s="26"/>
      <c r="R44" s="25"/>
      <c r="S44" s="25"/>
      <c r="T44" s="25"/>
    </row>
    <row r="45" ht="15" customHeight="1" spans="1:20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6"/>
      <c r="L45" s="36"/>
      <c r="M45" s="39"/>
      <c r="N45" s="39"/>
      <c r="O45" s="26"/>
      <c r="P45" s="26"/>
      <c r="Q45" s="26"/>
      <c r="R45" s="25"/>
      <c r="S45" s="25"/>
      <c r="T45" s="25"/>
    </row>
    <row r="46" ht="15" customHeight="1" spans="1:20" x14ac:dyDescent="0.25">
      <c r="A46" s="26"/>
      <c r="B46" s="26" t="s">
        <v>16</v>
      </c>
      <c r="C46" s="41" t="s">
        <v>30</v>
      </c>
      <c r="D46" s="26"/>
      <c r="E46" s="40" t="s">
        <v>31</v>
      </c>
      <c r="F46" s="28"/>
      <c r="G46" s="28"/>
      <c r="H46" s="26"/>
      <c r="I46" s="26"/>
      <c r="J46" s="26"/>
      <c r="K46" s="42"/>
      <c r="L46" s="42"/>
      <c r="M46" s="43"/>
      <c r="N46" s="43"/>
      <c r="O46" s="26"/>
      <c r="P46" s="26"/>
      <c r="Q46" s="26"/>
      <c r="R46" s="25"/>
      <c r="S46" s="25"/>
      <c r="T46" s="25"/>
    </row>
    <row r="47" spans="1:20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5"/>
      <c r="S47" s="25"/>
      <c r="T47" s="25"/>
    </row>
    <row r="48" ht="24" customHeight="1" spans="1:20" x14ac:dyDescent="0.25">
      <c r="A48" s="26"/>
      <c r="B48" s="44" t="s">
        <v>19</v>
      </c>
      <c r="C48" s="44"/>
      <c r="D48" s="44"/>
      <c r="E48" s="44"/>
      <c r="F48" s="47" t="s">
        <v>20</v>
      </c>
      <c r="G48" s="44" t="s">
        <v>21</v>
      </c>
      <c r="H48" s="44"/>
      <c r="I48" s="47" t="s">
        <v>32</v>
      </c>
      <c r="J48" s="44" t="s">
        <v>22</v>
      </c>
      <c r="K48" s="44" t="s">
        <v>33</v>
      </c>
      <c r="L48" s="44"/>
      <c r="M48" s="44" t="s">
        <v>34</v>
      </c>
      <c r="N48" s="44"/>
      <c r="O48" s="29"/>
      <c r="P48" s="48" t="s">
        <v>35</v>
      </c>
      <c r="Q48" s="26"/>
      <c r="R48" s="25"/>
      <c r="S48" s="25"/>
      <c r="T48" s="25"/>
    </row>
    <row r="49" ht="30.75" customHeight="1" spans="1:20" x14ac:dyDescent="0.25">
      <c r="A49" s="26"/>
      <c r="B49" s="44"/>
      <c r="C49" s="44"/>
      <c r="D49" s="44"/>
      <c r="E49" s="44"/>
      <c r="F49" s="49"/>
      <c r="G49" s="44" t="s">
        <v>37</v>
      </c>
      <c r="H49" s="44"/>
      <c r="I49" s="49"/>
      <c r="J49" s="50"/>
      <c r="K49" s="50">
        <f>F49*I49</f>
      </c>
      <c r="L49" s="51"/>
      <c r="M49" s="45"/>
      <c r="N49" s="51">
        <f>F49*J49</f>
      </c>
      <c r="O49" s="29"/>
      <c r="P49" s="47"/>
      <c r="Q49" s="26"/>
      <c r="R49" s="25"/>
      <c r="S49" s="25"/>
      <c r="T49" s="25"/>
    </row>
    <row r="50" ht="30.75" customHeight="1" spans="1:20" x14ac:dyDescent="0.25">
      <c r="A50" s="26"/>
      <c r="B50" s="44"/>
      <c r="C50" s="44"/>
      <c r="D50" s="44"/>
      <c r="E50" s="44"/>
      <c r="F50" s="49"/>
      <c r="G50" s="44" t="s">
        <v>37</v>
      </c>
      <c r="H50" s="44"/>
      <c r="I50" s="49"/>
      <c r="J50" s="50"/>
      <c r="K50" s="50">
        <f t="shared" ref="K50:K73" si="2">F50*I50</f>
      </c>
      <c r="L50" s="51"/>
      <c r="M50" s="52"/>
      <c r="N50" s="51">
        <f t="shared" ref="N50:N73" si="3">F50*J50</f>
      </c>
      <c r="O50" s="29"/>
      <c r="P50" s="47"/>
      <c r="Q50" s="26"/>
      <c r="R50" s="25"/>
      <c r="S50" s="25"/>
      <c r="T50" s="25"/>
    </row>
    <row r="51" ht="30.75" customHeight="1" spans="1:20" x14ac:dyDescent="0.25">
      <c r="A51" s="26"/>
      <c r="B51" s="44"/>
      <c r="C51" s="44"/>
      <c r="D51" s="44"/>
      <c r="E51" s="44"/>
      <c r="F51" s="49"/>
      <c r="G51" s="44" t="s">
        <v>37</v>
      </c>
      <c r="H51" s="44"/>
      <c r="I51" s="49"/>
      <c r="J51" s="50"/>
      <c r="K51" s="50">
        <f t="shared" si="2"/>
      </c>
      <c r="L51" s="51"/>
      <c r="M51" s="52"/>
      <c r="N51" s="51">
        <f t="shared" si="3"/>
      </c>
      <c r="O51" s="29"/>
      <c r="P51" s="47"/>
      <c r="Q51" s="26"/>
      <c r="R51" s="25"/>
      <c r="S51" s="25"/>
      <c r="T51" s="25"/>
    </row>
    <row r="52" ht="30.75" customHeight="1" spans="1:20" x14ac:dyDescent="0.25">
      <c r="A52" s="26"/>
      <c r="B52" s="44"/>
      <c r="C52" s="44"/>
      <c r="D52" s="44"/>
      <c r="E52" s="44"/>
      <c r="F52" s="49"/>
      <c r="G52" s="44" t="s">
        <v>37</v>
      </c>
      <c r="H52" s="44"/>
      <c r="I52" s="49"/>
      <c r="J52" s="50"/>
      <c r="K52" s="50">
        <f t="shared" si="2"/>
      </c>
      <c r="L52" s="51"/>
      <c r="M52" s="52"/>
      <c r="N52" s="51">
        <f t="shared" si="3"/>
      </c>
      <c r="O52" s="29"/>
      <c r="P52" s="47"/>
      <c r="Q52" s="26"/>
      <c r="R52" s="25"/>
      <c r="S52" s="25"/>
      <c r="T52" s="25"/>
    </row>
    <row r="53" ht="30.75" customHeight="1" spans="1:20" x14ac:dyDescent="0.25">
      <c r="A53" s="26"/>
      <c r="B53" s="44"/>
      <c r="C53" s="44"/>
      <c r="D53" s="44"/>
      <c r="E53" s="44"/>
      <c r="F53" s="49"/>
      <c r="G53" s="44" t="s">
        <v>37</v>
      </c>
      <c r="H53" s="44"/>
      <c r="I53" s="49"/>
      <c r="J53" s="50"/>
      <c r="K53" s="50">
        <f t="shared" si="2"/>
      </c>
      <c r="L53" s="51"/>
      <c r="M53" s="52"/>
      <c r="N53" s="51">
        <f t="shared" si="3"/>
      </c>
      <c r="O53" s="29"/>
      <c r="P53" s="47"/>
      <c r="Q53" s="26"/>
      <c r="R53" s="25"/>
      <c r="S53" s="25"/>
      <c r="T53" s="25"/>
    </row>
    <row r="54" ht="30.75" customHeight="1" spans="1:20" x14ac:dyDescent="0.25">
      <c r="A54" s="26"/>
      <c r="B54" s="44"/>
      <c r="C54" s="44"/>
      <c r="D54" s="44"/>
      <c r="E54" s="44"/>
      <c r="F54" s="49"/>
      <c r="G54" s="44" t="s">
        <v>37</v>
      </c>
      <c r="H54" s="44"/>
      <c r="I54" s="49"/>
      <c r="J54" s="50"/>
      <c r="K54" s="50">
        <f t="shared" si="2"/>
      </c>
      <c r="L54" s="51"/>
      <c r="M54" s="52"/>
      <c r="N54" s="51">
        <f t="shared" si="3"/>
      </c>
      <c r="O54" s="29"/>
      <c r="P54" s="47"/>
      <c r="Q54" s="26"/>
      <c r="R54" s="25"/>
      <c r="S54" s="25"/>
      <c r="T54" s="25"/>
    </row>
    <row r="55" ht="30.75" customHeight="1" spans="1:20" x14ac:dyDescent="0.25">
      <c r="A55" s="26"/>
      <c r="B55" s="44"/>
      <c r="C55" s="44"/>
      <c r="D55" s="44"/>
      <c r="E55" s="44"/>
      <c r="F55" s="49"/>
      <c r="G55" s="44" t="s">
        <v>37</v>
      </c>
      <c r="H55" s="44"/>
      <c r="I55" s="49"/>
      <c r="J55" s="50"/>
      <c r="K55" s="50">
        <f t="shared" si="2"/>
      </c>
      <c r="L55" s="51"/>
      <c r="M55" s="52"/>
      <c r="N55" s="51">
        <f t="shared" si="3"/>
      </c>
      <c r="O55" s="29"/>
      <c r="P55" s="47"/>
      <c r="Q55" s="26"/>
      <c r="R55" s="25"/>
      <c r="S55" s="25"/>
      <c r="T55" s="25"/>
    </row>
    <row r="56" ht="30.75" customHeight="1" spans="1:20" x14ac:dyDescent="0.25">
      <c r="A56" s="26"/>
      <c r="B56" s="44"/>
      <c r="C56" s="44"/>
      <c r="D56" s="44"/>
      <c r="E56" s="44"/>
      <c r="F56" s="49"/>
      <c r="G56" s="44" t="s">
        <v>37</v>
      </c>
      <c r="H56" s="44"/>
      <c r="I56" s="49"/>
      <c r="J56" s="50"/>
      <c r="K56" s="50">
        <f t="shared" si="2"/>
      </c>
      <c r="L56" s="51"/>
      <c r="M56" s="52"/>
      <c r="N56" s="51">
        <f t="shared" si="3"/>
      </c>
      <c r="O56" s="29"/>
      <c r="P56" s="47"/>
      <c r="Q56" s="26"/>
      <c r="R56" s="25"/>
      <c r="S56" s="25"/>
      <c r="T56" s="25"/>
    </row>
    <row r="57" ht="30.75" customHeight="1" spans="1:20" x14ac:dyDescent="0.25">
      <c r="A57" s="26"/>
      <c r="B57" s="44"/>
      <c r="C57" s="44"/>
      <c r="D57" s="44"/>
      <c r="E57" s="44"/>
      <c r="F57" s="49"/>
      <c r="G57" s="44" t="s">
        <v>37</v>
      </c>
      <c r="H57" s="44"/>
      <c r="I57" s="49"/>
      <c r="J57" s="50"/>
      <c r="K57" s="50">
        <f t="shared" si="2"/>
      </c>
      <c r="L57" s="51"/>
      <c r="M57" s="52"/>
      <c r="N57" s="51">
        <f t="shared" si="3"/>
      </c>
      <c r="O57" s="29"/>
      <c r="P57" s="47"/>
      <c r="Q57" s="26"/>
      <c r="R57" s="25"/>
      <c r="S57" s="25"/>
      <c r="T57" s="25"/>
    </row>
    <row r="58" ht="30.75" customHeight="1" spans="1:20" x14ac:dyDescent="0.25">
      <c r="A58" s="26"/>
      <c r="B58" s="44"/>
      <c r="C58" s="44"/>
      <c r="D58" s="44"/>
      <c r="E58" s="44"/>
      <c r="F58" s="49"/>
      <c r="G58" s="44" t="s">
        <v>37</v>
      </c>
      <c r="H58" s="44"/>
      <c r="I58" s="49"/>
      <c r="J58" s="50"/>
      <c r="K58" s="50">
        <f t="shared" si="2"/>
      </c>
      <c r="L58" s="51"/>
      <c r="M58" s="52"/>
      <c r="N58" s="51">
        <f t="shared" si="3"/>
      </c>
      <c r="O58" s="29"/>
      <c r="P58" s="47"/>
      <c r="Q58" s="26"/>
      <c r="R58" s="25"/>
      <c r="S58" s="25"/>
      <c r="T58" s="25"/>
    </row>
    <row r="59" ht="30.75" customHeight="1" spans="1:20" x14ac:dyDescent="0.25">
      <c r="A59" s="26"/>
      <c r="B59" s="44"/>
      <c r="C59" s="44"/>
      <c r="D59" s="44"/>
      <c r="E59" s="44"/>
      <c r="F59" s="49"/>
      <c r="G59" s="44" t="s">
        <v>37</v>
      </c>
      <c r="H59" s="44"/>
      <c r="I59" s="49"/>
      <c r="J59" s="50"/>
      <c r="K59" s="50">
        <f t="shared" si="2"/>
      </c>
      <c r="L59" s="51"/>
      <c r="M59" s="52"/>
      <c r="N59" s="51">
        <f t="shared" si="3"/>
      </c>
      <c r="O59" s="29"/>
      <c r="P59" s="47"/>
      <c r="Q59" s="26"/>
      <c r="R59" s="25"/>
      <c r="S59" s="25"/>
      <c r="T59" s="25"/>
    </row>
    <row r="60" ht="30.75" customHeight="1" spans="1:20" x14ac:dyDescent="0.25">
      <c r="A60" s="26"/>
      <c r="B60" s="44"/>
      <c r="C60" s="44"/>
      <c r="D60" s="44"/>
      <c r="E60" s="44"/>
      <c r="F60" s="49"/>
      <c r="G60" s="44" t="s">
        <v>37</v>
      </c>
      <c r="H60" s="44"/>
      <c r="I60" s="49"/>
      <c r="J60" s="50"/>
      <c r="K60" s="50">
        <f t="shared" si="2"/>
      </c>
      <c r="L60" s="51"/>
      <c r="M60" s="52"/>
      <c r="N60" s="51">
        <f t="shared" si="3"/>
      </c>
      <c r="O60" s="29"/>
      <c r="P60" s="47"/>
      <c r="Q60" s="26"/>
      <c r="R60" s="25"/>
      <c r="S60" s="25"/>
      <c r="T60" s="25"/>
    </row>
    <row r="61" ht="30.75" customHeight="1" spans="1:20" x14ac:dyDescent="0.25">
      <c r="A61" s="26"/>
      <c r="B61" s="44"/>
      <c r="C61" s="44"/>
      <c r="D61" s="44"/>
      <c r="E61" s="44"/>
      <c r="F61" s="49"/>
      <c r="G61" s="44" t="s">
        <v>37</v>
      </c>
      <c r="H61" s="44"/>
      <c r="I61" s="49"/>
      <c r="J61" s="50"/>
      <c r="K61" s="50">
        <f t="shared" si="2"/>
      </c>
      <c r="L61" s="51"/>
      <c r="M61" s="52"/>
      <c r="N61" s="51">
        <f t="shared" si="3"/>
      </c>
      <c r="O61" s="29"/>
      <c r="P61" s="47"/>
      <c r="Q61" s="26"/>
      <c r="R61" s="25"/>
      <c r="S61" s="25"/>
      <c r="T61" s="25"/>
    </row>
    <row r="62" ht="30.75" customHeight="1" spans="1:20" x14ac:dyDescent="0.25">
      <c r="A62" s="26"/>
      <c r="B62" s="44"/>
      <c r="C62" s="44"/>
      <c r="D62" s="44"/>
      <c r="E62" s="44"/>
      <c r="F62" s="49"/>
      <c r="G62" s="44" t="s">
        <v>37</v>
      </c>
      <c r="H62" s="44"/>
      <c r="I62" s="49"/>
      <c r="J62" s="50"/>
      <c r="K62" s="50">
        <f t="shared" si="2"/>
      </c>
      <c r="L62" s="51"/>
      <c r="M62" s="52"/>
      <c r="N62" s="51">
        <f t="shared" si="3"/>
      </c>
      <c r="O62" s="29"/>
      <c r="P62" s="47"/>
      <c r="Q62" s="26"/>
      <c r="R62" s="25"/>
      <c r="S62" s="25"/>
      <c r="T62" s="25"/>
    </row>
    <row r="63" ht="30.75" customHeight="1" spans="1:20" x14ac:dyDescent="0.25">
      <c r="A63" s="26"/>
      <c r="B63" s="44"/>
      <c r="C63" s="44"/>
      <c r="D63" s="44"/>
      <c r="E63" s="44"/>
      <c r="F63" s="49"/>
      <c r="G63" s="44" t="s">
        <v>37</v>
      </c>
      <c r="H63" s="44"/>
      <c r="I63" s="49"/>
      <c r="J63" s="50"/>
      <c r="K63" s="50">
        <f t="shared" si="2"/>
      </c>
      <c r="L63" s="51"/>
      <c r="M63" s="52"/>
      <c r="N63" s="51">
        <f t="shared" si="3"/>
      </c>
      <c r="O63" s="29"/>
      <c r="P63" s="47"/>
      <c r="Q63" s="26"/>
      <c r="R63" s="25"/>
      <c r="S63" s="25"/>
      <c r="T63" s="25"/>
    </row>
    <row r="64" ht="30.75" customHeight="1" spans="1:20" x14ac:dyDescent="0.25">
      <c r="A64" s="26"/>
      <c r="B64" s="44"/>
      <c r="C64" s="44"/>
      <c r="D64" s="44"/>
      <c r="E64" s="44"/>
      <c r="F64" s="49"/>
      <c r="G64" s="44" t="s">
        <v>37</v>
      </c>
      <c r="H64" s="44"/>
      <c r="I64" s="49"/>
      <c r="J64" s="50"/>
      <c r="K64" s="50">
        <f t="shared" si="2"/>
      </c>
      <c r="L64" s="51"/>
      <c r="M64" s="52"/>
      <c r="N64" s="51">
        <f t="shared" si="3"/>
      </c>
      <c r="O64" s="29"/>
      <c r="P64" s="47"/>
      <c r="Q64" s="26"/>
      <c r="R64" s="25"/>
      <c r="S64" s="25"/>
      <c r="T64" s="25"/>
    </row>
    <row r="65" ht="30.75" customHeight="1" spans="1:20" x14ac:dyDescent="0.25">
      <c r="A65" s="26"/>
      <c r="B65" s="44"/>
      <c r="C65" s="44"/>
      <c r="D65" s="44"/>
      <c r="E65" s="44"/>
      <c r="F65" s="49"/>
      <c r="G65" s="44" t="s">
        <v>37</v>
      </c>
      <c r="H65" s="44"/>
      <c r="I65" s="49"/>
      <c r="J65" s="50"/>
      <c r="K65" s="50">
        <f t="shared" si="2"/>
      </c>
      <c r="L65" s="51"/>
      <c r="M65" s="52"/>
      <c r="N65" s="51">
        <f t="shared" si="3"/>
      </c>
      <c r="O65" s="29"/>
      <c r="P65" s="47"/>
      <c r="Q65" s="26"/>
      <c r="R65" s="25"/>
      <c r="S65" s="25"/>
      <c r="T65" s="25"/>
    </row>
    <row r="66" ht="30.75" customHeight="1" spans="1:20" x14ac:dyDescent="0.25">
      <c r="A66" s="26"/>
      <c r="B66" s="44"/>
      <c r="C66" s="44"/>
      <c r="D66" s="44"/>
      <c r="E66" s="44"/>
      <c r="F66" s="49"/>
      <c r="G66" s="44" t="s">
        <v>37</v>
      </c>
      <c r="H66" s="44"/>
      <c r="I66" s="49"/>
      <c r="J66" s="50"/>
      <c r="K66" s="50">
        <f t="shared" si="2"/>
      </c>
      <c r="L66" s="51"/>
      <c r="M66" s="52"/>
      <c r="N66" s="51">
        <f t="shared" si="3"/>
      </c>
      <c r="O66" s="29"/>
      <c r="P66" s="47"/>
      <c r="Q66" s="26"/>
      <c r="R66" s="25"/>
      <c r="S66" s="25"/>
      <c r="T66" s="25"/>
    </row>
    <row r="67" ht="30.75" customHeight="1" spans="1:20" x14ac:dyDescent="0.25">
      <c r="A67" s="26"/>
      <c r="B67" s="44"/>
      <c r="C67" s="44"/>
      <c r="D67" s="44"/>
      <c r="E67" s="44"/>
      <c r="F67" s="49"/>
      <c r="G67" s="44" t="s">
        <v>37</v>
      </c>
      <c r="H67" s="44"/>
      <c r="I67" s="49"/>
      <c r="J67" s="50"/>
      <c r="K67" s="50">
        <f t="shared" si="2"/>
      </c>
      <c r="L67" s="51"/>
      <c r="M67" s="52"/>
      <c r="N67" s="51">
        <f t="shared" si="3"/>
      </c>
      <c r="O67" s="29"/>
      <c r="P67" s="47"/>
      <c r="Q67" s="26"/>
      <c r="R67" s="25"/>
      <c r="S67" s="25"/>
      <c r="T67" s="25"/>
    </row>
    <row r="68" ht="30.75" customHeight="1" spans="1:20" x14ac:dyDescent="0.25">
      <c r="A68" s="26"/>
      <c r="B68" s="44"/>
      <c r="C68" s="44"/>
      <c r="D68" s="44"/>
      <c r="E68" s="44"/>
      <c r="F68" s="49"/>
      <c r="G68" s="44" t="s">
        <v>37</v>
      </c>
      <c r="H68" s="44"/>
      <c r="I68" s="49"/>
      <c r="J68" s="50"/>
      <c r="K68" s="50">
        <f t="shared" si="2"/>
      </c>
      <c r="L68" s="51"/>
      <c r="M68" s="52"/>
      <c r="N68" s="51">
        <f t="shared" si="3"/>
      </c>
      <c r="O68" s="29"/>
      <c r="P68" s="47"/>
      <c r="Q68" s="26"/>
      <c r="R68" s="25"/>
      <c r="S68" s="25"/>
      <c r="T68" s="25"/>
    </row>
    <row r="69" ht="30.75" customHeight="1" spans="1:20" x14ac:dyDescent="0.25">
      <c r="A69" s="26"/>
      <c r="B69" s="44"/>
      <c r="C69" s="44"/>
      <c r="D69" s="44"/>
      <c r="E69" s="44"/>
      <c r="F69" s="49"/>
      <c r="G69" s="44" t="s">
        <v>37</v>
      </c>
      <c r="H69" s="44"/>
      <c r="I69" s="49"/>
      <c r="J69" s="50"/>
      <c r="K69" s="50">
        <f t="shared" si="2"/>
      </c>
      <c r="L69" s="51"/>
      <c r="M69" s="52"/>
      <c r="N69" s="51">
        <f t="shared" si="3"/>
      </c>
      <c r="O69" s="29"/>
      <c r="P69" s="47"/>
      <c r="Q69" s="26"/>
      <c r="R69" s="25"/>
      <c r="S69" s="25"/>
      <c r="T69" s="25"/>
    </row>
    <row r="70" ht="30.75" customHeight="1" spans="1:20" x14ac:dyDescent="0.25">
      <c r="A70" s="26"/>
      <c r="B70" s="44"/>
      <c r="C70" s="44"/>
      <c r="D70" s="44"/>
      <c r="E70" s="44"/>
      <c r="F70" s="49"/>
      <c r="G70" s="44" t="s">
        <v>37</v>
      </c>
      <c r="H70" s="44"/>
      <c r="I70" s="49"/>
      <c r="J70" s="50"/>
      <c r="K70" s="50">
        <f t="shared" si="2"/>
      </c>
      <c r="L70" s="51"/>
      <c r="M70" s="52"/>
      <c r="N70" s="51">
        <f t="shared" si="3"/>
      </c>
      <c r="O70" s="29"/>
      <c r="P70" s="47"/>
      <c r="Q70" s="26"/>
      <c r="R70" s="25"/>
      <c r="S70" s="25"/>
      <c r="T70" s="25"/>
    </row>
    <row r="71" ht="30.75" customHeight="1" spans="1:20" x14ac:dyDescent="0.25">
      <c r="A71" s="26"/>
      <c r="B71" s="44"/>
      <c r="C71" s="44"/>
      <c r="D71" s="44"/>
      <c r="E71" s="44"/>
      <c r="F71" s="49"/>
      <c r="G71" s="44" t="s">
        <v>37</v>
      </c>
      <c r="H71" s="44"/>
      <c r="I71" s="49"/>
      <c r="J71" s="50"/>
      <c r="K71" s="50">
        <f t="shared" si="2"/>
      </c>
      <c r="L71" s="51"/>
      <c r="M71" s="52"/>
      <c r="N71" s="51">
        <f t="shared" si="3"/>
      </c>
      <c r="O71" s="29"/>
      <c r="P71" s="47"/>
      <c r="Q71" s="26"/>
      <c r="R71" s="25"/>
      <c r="S71" s="25"/>
      <c r="T71" s="25"/>
    </row>
    <row r="72" ht="30.75" customHeight="1" spans="1:20" x14ac:dyDescent="0.25">
      <c r="A72" s="26"/>
      <c r="B72" s="44"/>
      <c r="C72" s="44"/>
      <c r="D72" s="44"/>
      <c r="E72" s="44"/>
      <c r="F72" s="49"/>
      <c r="G72" s="44" t="s">
        <v>37</v>
      </c>
      <c r="H72" s="44"/>
      <c r="I72" s="49"/>
      <c r="J72" s="50"/>
      <c r="K72" s="50">
        <f t="shared" si="2"/>
      </c>
      <c r="L72" s="51"/>
      <c r="M72" s="52"/>
      <c r="N72" s="51">
        <f t="shared" si="3"/>
      </c>
      <c r="O72" s="29"/>
      <c r="P72" s="47"/>
      <c r="Q72" s="26"/>
      <c r="R72" s="25"/>
      <c r="S72" s="25"/>
      <c r="T72" s="25"/>
    </row>
    <row r="73" ht="30.75" customHeight="1" spans="1:20" x14ac:dyDescent="0.25">
      <c r="A73" s="26"/>
      <c r="B73" s="44"/>
      <c r="C73" s="44"/>
      <c r="D73" s="44"/>
      <c r="E73" s="44"/>
      <c r="F73" s="49"/>
      <c r="G73" s="44" t="s">
        <v>37</v>
      </c>
      <c r="H73" s="44"/>
      <c r="I73" s="49"/>
      <c r="J73" s="50"/>
      <c r="K73" s="50">
        <f t="shared" si="2"/>
      </c>
      <c r="L73" s="38"/>
      <c r="M73" s="53"/>
      <c r="N73" s="51">
        <f t="shared" si="3"/>
      </c>
      <c r="O73" s="29"/>
      <c r="P73" s="47"/>
      <c r="Q73" s="26"/>
      <c r="R73" s="25"/>
      <c r="S73" s="25"/>
      <c r="T73" s="25"/>
    </row>
    <row r="74" ht="26.25" customHeight="1" spans="1:20" x14ac:dyDescent="0.25">
      <c r="A74" s="26"/>
      <c r="B74" s="44" t="s">
        <v>25</v>
      </c>
      <c r="C74" s="44"/>
      <c r="D74" s="44"/>
      <c r="E74" s="44"/>
      <c r="F74" s="44"/>
      <c r="G74" s="44"/>
      <c r="H74" s="44"/>
      <c r="I74" s="44"/>
      <c r="J74" s="45"/>
      <c r="K74" s="54">
        <f>SUM(K49:K73)</f>
      </c>
      <c r="L74" s="54"/>
      <c r="M74" s="56"/>
      <c r="N74" s="57">
        <f>SUM(N49:N73)</f>
      </c>
      <c r="O74" s="29"/>
      <c r="P74" s="29"/>
      <c r="Q74" s="26"/>
      <c r="R74" s="25"/>
      <c r="S74" s="25"/>
      <c r="T74" s="25"/>
    </row>
    <row r="75" ht="15" customHeight="1" spans="1:20" x14ac:dyDescent="0.25">
      <c r="A75" s="26"/>
      <c r="B75" s="26"/>
      <c r="C75" s="26"/>
      <c r="D75" s="26"/>
      <c r="E75" s="27" t="s">
        <v>7</v>
      </c>
      <c r="F75" s="27"/>
      <c r="G75" s="27"/>
      <c r="H75" s="27"/>
      <c r="I75" s="27"/>
      <c r="J75" s="27"/>
      <c r="K75" s="28" t="s">
        <v>8</v>
      </c>
      <c r="L75" s="28">
        <v>3</v>
      </c>
      <c r="M75" s="28"/>
      <c r="N75" s="28"/>
      <c r="O75" s="26"/>
      <c r="P75" s="26"/>
      <c r="Q75" s="26"/>
      <c r="R75" s="25"/>
      <c r="S75" s="25"/>
      <c r="T75" s="25"/>
    </row>
    <row r="76" ht="15" customHeight="1" spans="1:20" x14ac:dyDescent="0.25">
      <c r="A76" s="26"/>
      <c r="B76" s="26"/>
      <c r="C76" s="26"/>
      <c r="D76" s="26"/>
      <c r="E76" s="27"/>
      <c r="F76" s="27"/>
      <c r="G76" s="27"/>
      <c r="H76" s="27"/>
      <c r="I76" s="27"/>
      <c r="J76" s="27"/>
      <c r="K76" s="26"/>
      <c r="L76" s="26"/>
      <c r="M76" s="26"/>
      <c r="N76" s="26"/>
      <c r="O76" s="26"/>
      <c r="P76" s="26"/>
      <c r="Q76" s="26"/>
      <c r="R76" s="25"/>
      <c r="S76" s="25"/>
      <c r="T76" s="25"/>
    </row>
    <row r="77" ht="15" customHeight="1" spans="1:20" x14ac:dyDescent="0.25">
      <c r="A77" s="26"/>
      <c r="B77" s="26"/>
      <c r="C77" s="26"/>
      <c r="D77" s="26"/>
      <c r="E77" s="27"/>
      <c r="F77" s="27"/>
      <c r="G77" s="27"/>
      <c r="H77" s="27"/>
      <c r="I77" s="27"/>
      <c r="J77" s="27"/>
      <c r="K77" s="26"/>
      <c r="L77" s="26"/>
      <c r="M77" s="26"/>
      <c r="N77" s="26"/>
      <c r="O77" s="26"/>
      <c r="P77" s="26"/>
      <c r="Q77" s="26"/>
      <c r="R77" s="25"/>
      <c r="S77" s="25"/>
      <c r="T77" s="25"/>
    </row>
    <row r="78" ht="15" customHeight="1" spans="1:20" x14ac:dyDescent="0.25">
      <c r="A78" s="26"/>
      <c r="B78" s="26"/>
      <c r="C78" s="26"/>
      <c r="D78" s="26"/>
      <c r="E78" s="26"/>
      <c r="F78" s="26"/>
      <c r="G78" s="26"/>
      <c r="H78" s="26"/>
      <c r="I78" s="29"/>
      <c r="J78" s="29"/>
      <c r="K78" s="30" t="s">
        <v>9</v>
      </c>
      <c r="L78" s="31" t="s">
        <v>9</v>
      </c>
      <c r="M78" s="31"/>
      <c r="N78" s="30" t="s">
        <v>26</v>
      </c>
      <c r="O78" s="29"/>
      <c r="P78" s="29"/>
      <c r="Q78" s="26"/>
      <c r="R78" s="25"/>
      <c r="S78" s="25"/>
      <c r="T78" s="25"/>
    </row>
    <row r="79" ht="15" customHeight="1" spans="1:20" x14ac:dyDescent="0.25">
      <c r="A79" s="26"/>
      <c r="B79" s="26" t="s">
        <v>10</v>
      </c>
      <c r="C79" s="28" t="s">
        <v>27</v>
      </c>
      <c r="D79" s="26"/>
      <c r="E79" s="26"/>
      <c r="F79" s="26"/>
      <c r="G79" s="26"/>
      <c r="H79" s="26"/>
      <c r="I79" s="29"/>
      <c r="J79" s="29"/>
      <c r="K79" s="33" t="s">
        <v>12</v>
      </c>
      <c r="L79" s="34" t="s">
        <v>11</v>
      </c>
      <c r="M79" s="34"/>
      <c r="N79" s="30"/>
      <c r="O79" s="29"/>
      <c r="P79" s="29"/>
      <c r="Q79" s="26"/>
      <c r="R79" s="25"/>
      <c r="S79" s="25"/>
      <c r="T79" s="25"/>
    </row>
    <row r="80" ht="15" customHeight="1" spans="1:20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6"/>
      <c r="L80" s="37"/>
      <c r="M80" s="38"/>
      <c r="N80" s="39"/>
      <c r="O80" s="26"/>
      <c r="P80" s="26"/>
      <c r="Q80" s="26"/>
      <c r="R80" s="25"/>
      <c r="S80" s="25"/>
      <c r="T80" s="25"/>
    </row>
    <row r="81" ht="15" customHeight="1" spans="1:20" x14ac:dyDescent="0.25">
      <c r="A81" s="26"/>
      <c r="B81" s="26" t="s">
        <v>13</v>
      </c>
      <c r="C81" s="28" t="s">
        <v>28</v>
      </c>
      <c r="D81" s="26"/>
      <c r="E81" s="28" t="s">
        <v>14</v>
      </c>
      <c r="F81" s="40" t="str">
        <f>F7</f>
        <v>         2026年 　　2月28日</v>
      </c>
      <c r="G81" s="40"/>
      <c r="H81" s="26"/>
      <c r="I81" s="26"/>
      <c r="J81" s="26"/>
      <c r="K81" s="36"/>
      <c r="L81" s="36"/>
      <c r="M81" s="39"/>
      <c r="N81" s="39"/>
      <c r="O81" s="26"/>
      <c r="P81" s="26"/>
      <c r="Q81" s="26"/>
      <c r="R81" s="25"/>
      <c r="S81" s="25"/>
      <c r="T81" s="25"/>
    </row>
    <row r="82" ht="15" customHeight="1" spans="1:20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6"/>
      <c r="L82" s="36"/>
      <c r="M82" s="39"/>
      <c r="N82" s="39"/>
      <c r="O82" s="26"/>
      <c r="P82" s="26"/>
      <c r="Q82" s="26"/>
      <c r="R82" s="25"/>
      <c r="S82" s="25"/>
      <c r="T82" s="25"/>
    </row>
    <row r="83" ht="15" customHeight="1" spans="1:20" x14ac:dyDescent="0.25">
      <c r="A83" s="26"/>
      <c r="B83" s="26" t="s">
        <v>16</v>
      </c>
      <c r="C83" s="41" t="s">
        <v>30</v>
      </c>
      <c r="D83" s="26"/>
      <c r="E83" s="40" t="s">
        <v>31</v>
      </c>
      <c r="F83" s="28"/>
      <c r="G83" s="28"/>
      <c r="H83" s="26"/>
      <c r="I83" s="26"/>
      <c r="J83" s="26"/>
      <c r="K83" s="42"/>
      <c r="L83" s="42"/>
      <c r="M83" s="43"/>
      <c r="N83" s="43"/>
      <c r="O83" s="26"/>
      <c r="P83" s="26"/>
      <c r="Q83" s="26"/>
      <c r="R83" s="25"/>
      <c r="S83" s="25"/>
      <c r="T83" s="25"/>
    </row>
    <row r="84" spans="1:20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5"/>
      <c r="S84" s="25"/>
      <c r="T84" s="25"/>
    </row>
    <row r="85" ht="24" customHeight="1" spans="1:20" x14ac:dyDescent="0.25">
      <c r="A85" s="26"/>
      <c r="B85" s="44" t="s">
        <v>19</v>
      </c>
      <c r="C85" s="44"/>
      <c r="D85" s="44"/>
      <c r="E85" s="44"/>
      <c r="F85" s="47" t="s">
        <v>20</v>
      </c>
      <c r="G85" s="44" t="s">
        <v>21</v>
      </c>
      <c r="H85" s="44"/>
      <c r="I85" s="47" t="s">
        <v>32</v>
      </c>
      <c r="J85" s="44" t="s">
        <v>22</v>
      </c>
      <c r="K85" s="44" t="s">
        <v>33</v>
      </c>
      <c r="L85" s="44"/>
      <c r="M85" s="44" t="s">
        <v>34</v>
      </c>
      <c r="N85" s="44"/>
      <c r="O85" s="29"/>
      <c r="P85" s="48" t="s">
        <v>35</v>
      </c>
      <c r="Q85" s="26"/>
      <c r="R85" s="25"/>
      <c r="S85" s="25"/>
      <c r="T85" s="25"/>
    </row>
    <row r="86" ht="30.75" customHeight="1" spans="1:20" x14ac:dyDescent="0.25">
      <c r="A86" s="26"/>
      <c r="B86" s="44"/>
      <c r="C86" s="44"/>
      <c r="D86" s="44"/>
      <c r="E86" s="44"/>
      <c r="F86" s="49"/>
      <c r="G86" s="44" t="s">
        <v>37</v>
      </c>
      <c r="H86" s="44"/>
      <c r="I86" s="49"/>
      <c r="J86" s="50"/>
      <c r="K86" s="50">
        <f>F86*I86</f>
      </c>
      <c r="L86" s="51"/>
      <c r="M86" s="45"/>
      <c r="N86" s="51">
        <f>F86*J86</f>
      </c>
      <c r="O86" s="29"/>
      <c r="P86" s="47"/>
      <c r="Q86" s="26"/>
      <c r="R86" s="25"/>
      <c r="S86" s="25"/>
      <c r="T86" s="25"/>
    </row>
    <row r="87" ht="30.75" customHeight="1" spans="1:20" x14ac:dyDescent="0.25">
      <c r="A87" s="26"/>
      <c r="B87" s="44"/>
      <c r="C87" s="44"/>
      <c r="D87" s="44"/>
      <c r="E87" s="44"/>
      <c r="F87" s="49"/>
      <c r="G87" s="44" t="s">
        <v>37</v>
      </c>
      <c r="H87" s="44"/>
      <c r="I87" s="49"/>
      <c r="J87" s="50"/>
      <c r="K87" s="50">
        <f t="shared" ref="K87:K110" si="4">F87*I87</f>
      </c>
      <c r="L87" s="51"/>
      <c r="M87" s="52"/>
      <c r="N87" s="51">
        <f t="shared" ref="N87:N110" si="5">F87*J87</f>
      </c>
      <c r="O87" s="29"/>
      <c r="P87" s="47"/>
      <c r="Q87" s="26"/>
      <c r="R87" s="25"/>
      <c r="S87" s="25"/>
      <c r="T87" s="25"/>
    </row>
    <row r="88" ht="30.75" customHeight="1" spans="1:20" x14ac:dyDescent="0.25">
      <c r="A88" s="26"/>
      <c r="B88" s="44"/>
      <c r="C88" s="44"/>
      <c r="D88" s="44"/>
      <c r="E88" s="44"/>
      <c r="F88" s="49"/>
      <c r="G88" s="44" t="s">
        <v>37</v>
      </c>
      <c r="H88" s="44"/>
      <c r="I88" s="49"/>
      <c r="J88" s="50"/>
      <c r="K88" s="50">
        <f t="shared" si="4"/>
      </c>
      <c r="L88" s="51"/>
      <c r="M88" s="52"/>
      <c r="N88" s="51">
        <f t="shared" si="5"/>
      </c>
      <c r="O88" s="29"/>
      <c r="P88" s="47"/>
      <c r="Q88" s="26"/>
      <c r="R88" s="25"/>
      <c r="S88" s="25"/>
      <c r="T88" s="25"/>
    </row>
    <row r="89" ht="30.75" customHeight="1" spans="1:20" x14ac:dyDescent="0.25">
      <c r="A89" s="26"/>
      <c r="B89" s="44"/>
      <c r="C89" s="44"/>
      <c r="D89" s="44"/>
      <c r="E89" s="44"/>
      <c r="F89" s="49"/>
      <c r="G89" s="44" t="s">
        <v>37</v>
      </c>
      <c r="H89" s="44"/>
      <c r="I89" s="49"/>
      <c r="J89" s="50"/>
      <c r="K89" s="50">
        <f t="shared" si="4"/>
      </c>
      <c r="L89" s="51"/>
      <c r="M89" s="52"/>
      <c r="N89" s="51">
        <f t="shared" si="5"/>
      </c>
      <c r="O89" s="29"/>
      <c r="P89" s="47"/>
      <c r="Q89" s="26"/>
      <c r="R89" s="25"/>
      <c r="S89" s="25"/>
      <c r="T89" s="25"/>
    </row>
    <row r="90" ht="30.75" customHeight="1" spans="1:20" x14ac:dyDescent="0.25">
      <c r="A90" s="26"/>
      <c r="B90" s="44"/>
      <c r="C90" s="44"/>
      <c r="D90" s="44"/>
      <c r="E90" s="44"/>
      <c r="F90" s="49"/>
      <c r="G90" s="44" t="s">
        <v>37</v>
      </c>
      <c r="H90" s="44"/>
      <c r="I90" s="49"/>
      <c r="J90" s="50"/>
      <c r="K90" s="50">
        <f t="shared" si="4"/>
      </c>
      <c r="L90" s="51"/>
      <c r="M90" s="52"/>
      <c r="N90" s="51">
        <f t="shared" si="5"/>
      </c>
      <c r="O90" s="29"/>
      <c r="P90" s="47"/>
      <c r="Q90" s="26"/>
      <c r="R90" s="25"/>
      <c r="S90" s="25"/>
      <c r="T90" s="25"/>
    </row>
    <row r="91" ht="30.75" customHeight="1" spans="1:20" x14ac:dyDescent="0.25">
      <c r="A91" s="26"/>
      <c r="B91" s="44"/>
      <c r="C91" s="44"/>
      <c r="D91" s="44"/>
      <c r="E91" s="44"/>
      <c r="F91" s="49"/>
      <c r="G91" s="44" t="s">
        <v>37</v>
      </c>
      <c r="H91" s="44"/>
      <c r="I91" s="49"/>
      <c r="J91" s="50"/>
      <c r="K91" s="50">
        <f t="shared" si="4"/>
      </c>
      <c r="L91" s="51"/>
      <c r="M91" s="52"/>
      <c r="N91" s="51">
        <f t="shared" si="5"/>
      </c>
      <c r="O91" s="29"/>
      <c r="P91" s="47"/>
      <c r="Q91" s="26"/>
      <c r="R91" s="25"/>
      <c r="S91" s="25"/>
      <c r="T91" s="25"/>
    </row>
    <row r="92" ht="30.75" customHeight="1" spans="1:20" x14ac:dyDescent="0.25">
      <c r="A92" s="26"/>
      <c r="B92" s="44"/>
      <c r="C92" s="44"/>
      <c r="D92" s="44"/>
      <c r="E92" s="44"/>
      <c r="F92" s="49"/>
      <c r="G92" s="44" t="s">
        <v>37</v>
      </c>
      <c r="H92" s="44"/>
      <c r="I92" s="49"/>
      <c r="J92" s="50"/>
      <c r="K92" s="50">
        <f t="shared" si="4"/>
      </c>
      <c r="L92" s="51"/>
      <c r="M92" s="52"/>
      <c r="N92" s="51">
        <f t="shared" si="5"/>
      </c>
      <c r="O92" s="29"/>
      <c r="P92" s="47"/>
      <c r="Q92" s="26"/>
      <c r="R92" s="25"/>
      <c r="S92" s="25"/>
      <c r="T92" s="25"/>
    </row>
    <row r="93" ht="30.75" customHeight="1" spans="1:20" x14ac:dyDescent="0.25">
      <c r="A93" s="26"/>
      <c r="B93" s="44"/>
      <c r="C93" s="44"/>
      <c r="D93" s="44"/>
      <c r="E93" s="44"/>
      <c r="F93" s="49"/>
      <c r="G93" s="44" t="s">
        <v>37</v>
      </c>
      <c r="H93" s="44"/>
      <c r="I93" s="49"/>
      <c r="J93" s="50"/>
      <c r="K93" s="50">
        <f t="shared" si="4"/>
      </c>
      <c r="L93" s="51"/>
      <c r="M93" s="52"/>
      <c r="N93" s="51">
        <f t="shared" si="5"/>
      </c>
      <c r="O93" s="29"/>
      <c r="P93" s="47"/>
      <c r="Q93" s="26"/>
      <c r="R93" s="25"/>
      <c r="S93" s="25"/>
      <c r="T93" s="25"/>
    </row>
    <row r="94" ht="30.75" customHeight="1" spans="1:20" x14ac:dyDescent="0.25">
      <c r="A94" s="26"/>
      <c r="B94" s="44"/>
      <c r="C94" s="44"/>
      <c r="D94" s="44"/>
      <c r="E94" s="44"/>
      <c r="F94" s="49"/>
      <c r="G94" s="44" t="s">
        <v>37</v>
      </c>
      <c r="H94" s="44"/>
      <c r="I94" s="49"/>
      <c r="J94" s="50"/>
      <c r="K94" s="50">
        <f t="shared" si="4"/>
      </c>
      <c r="L94" s="51"/>
      <c r="M94" s="52"/>
      <c r="N94" s="51">
        <f t="shared" si="5"/>
      </c>
      <c r="O94" s="29"/>
      <c r="P94" s="47"/>
      <c r="Q94" s="26"/>
      <c r="R94" s="25"/>
      <c r="S94" s="25"/>
      <c r="T94" s="25"/>
    </row>
    <row r="95" ht="30.75" customHeight="1" spans="1:20" x14ac:dyDescent="0.25">
      <c r="A95" s="26"/>
      <c r="B95" s="44"/>
      <c r="C95" s="44"/>
      <c r="D95" s="44"/>
      <c r="E95" s="44"/>
      <c r="F95" s="49"/>
      <c r="G95" s="44" t="s">
        <v>37</v>
      </c>
      <c r="H95" s="44"/>
      <c r="I95" s="49"/>
      <c r="J95" s="50"/>
      <c r="K95" s="50">
        <f t="shared" si="4"/>
      </c>
      <c r="L95" s="51"/>
      <c r="M95" s="52"/>
      <c r="N95" s="51">
        <f t="shared" si="5"/>
      </c>
      <c r="O95" s="29"/>
      <c r="P95" s="47"/>
      <c r="Q95" s="26"/>
      <c r="R95" s="25"/>
      <c r="S95" s="25"/>
      <c r="T95" s="25"/>
    </row>
    <row r="96" ht="30.75" customHeight="1" spans="1:20" x14ac:dyDescent="0.25">
      <c r="A96" s="26"/>
      <c r="B96" s="44"/>
      <c r="C96" s="44"/>
      <c r="D96" s="44"/>
      <c r="E96" s="44"/>
      <c r="F96" s="49"/>
      <c r="G96" s="44" t="s">
        <v>37</v>
      </c>
      <c r="H96" s="44"/>
      <c r="I96" s="49"/>
      <c r="J96" s="50"/>
      <c r="K96" s="50">
        <f t="shared" si="4"/>
      </c>
      <c r="L96" s="51"/>
      <c r="M96" s="52"/>
      <c r="N96" s="51">
        <f t="shared" si="5"/>
      </c>
      <c r="O96" s="29"/>
      <c r="P96" s="47"/>
      <c r="Q96" s="26"/>
      <c r="R96" s="25"/>
      <c r="S96" s="25"/>
      <c r="T96" s="25"/>
    </row>
    <row r="97" ht="30.75" customHeight="1" spans="1:20" x14ac:dyDescent="0.25">
      <c r="A97" s="26"/>
      <c r="B97" s="44"/>
      <c r="C97" s="44"/>
      <c r="D97" s="44"/>
      <c r="E97" s="44"/>
      <c r="F97" s="49"/>
      <c r="G97" s="44" t="s">
        <v>37</v>
      </c>
      <c r="H97" s="44"/>
      <c r="I97" s="49"/>
      <c r="J97" s="50"/>
      <c r="K97" s="50">
        <f t="shared" si="4"/>
      </c>
      <c r="L97" s="51"/>
      <c r="M97" s="52"/>
      <c r="N97" s="51">
        <f t="shared" si="5"/>
      </c>
      <c r="O97" s="29"/>
      <c r="P97" s="47"/>
      <c r="Q97" s="26"/>
      <c r="R97" s="25"/>
      <c r="S97" s="25"/>
      <c r="T97" s="25"/>
    </row>
    <row r="98" ht="30.75" customHeight="1" spans="1:20" x14ac:dyDescent="0.25">
      <c r="A98" s="26"/>
      <c r="B98" s="44"/>
      <c r="C98" s="44"/>
      <c r="D98" s="44"/>
      <c r="E98" s="44"/>
      <c r="F98" s="49"/>
      <c r="G98" s="44" t="s">
        <v>37</v>
      </c>
      <c r="H98" s="44"/>
      <c r="I98" s="49"/>
      <c r="J98" s="50"/>
      <c r="K98" s="50">
        <f t="shared" si="4"/>
      </c>
      <c r="L98" s="51"/>
      <c r="M98" s="52"/>
      <c r="N98" s="51">
        <f t="shared" si="5"/>
      </c>
      <c r="O98" s="29"/>
      <c r="P98" s="47"/>
      <c r="Q98" s="26"/>
      <c r="R98" s="25"/>
      <c r="S98" s="25"/>
      <c r="T98" s="25"/>
    </row>
    <row r="99" ht="30.75" customHeight="1" spans="1:20" x14ac:dyDescent="0.25">
      <c r="A99" s="26"/>
      <c r="B99" s="44"/>
      <c r="C99" s="44"/>
      <c r="D99" s="44"/>
      <c r="E99" s="44"/>
      <c r="F99" s="49"/>
      <c r="G99" s="44" t="s">
        <v>37</v>
      </c>
      <c r="H99" s="44"/>
      <c r="I99" s="49"/>
      <c r="J99" s="50"/>
      <c r="K99" s="50">
        <f t="shared" si="4"/>
      </c>
      <c r="L99" s="51"/>
      <c r="M99" s="52"/>
      <c r="N99" s="51">
        <f t="shared" si="5"/>
      </c>
      <c r="O99" s="29"/>
      <c r="P99" s="47"/>
      <c r="Q99" s="26"/>
      <c r="R99" s="25"/>
      <c r="S99" s="25"/>
      <c r="T99" s="25"/>
    </row>
    <row r="100" ht="30.75" customHeight="1" spans="1:20" x14ac:dyDescent="0.25">
      <c r="A100" s="26"/>
      <c r="B100" s="44"/>
      <c r="C100" s="44"/>
      <c r="D100" s="44"/>
      <c r="E100" s="44"/>
      <c r="F100" s="49"/>
      <c r="G100" s="44" t="s">
        <v>37</v>
      </c>
      <c r="H100" s="44"/>
      <c r="I100" s="49"/>
      <c r="J100" s="50"/>
      <c r="K100" s="50">
        <f t="shared" si="4"/>
      </c>
      <c r="L100" s="51"/>
      <c r="M100" s="52"/>
      <c r="N100" s="51">
        <f t="shared" si="5"/>
      </c>
      <c r="O100" s="29"/>
      <c r="P100" s="47"/>
      <c r="Q100" s="26"/>
      <c r="R100" s="25"/>
      <c r="S100" s="25"/>
      <c r="T100" s="25"/>
    </row>
    <row r="101" ht="30.75" customHeight="1" spans="1:20" x14ac:dyDescent="0.25">
      <c r="A101" s="26"/>
      <c r="B101" s="44"/>
      <c r="C101" s="44"/>
      <c r="D101" s="44"/>
      <c r="E101" s="44"/>
      <c r="F101" s="49"/>
      <c r="G101" s="44" t="s">
        <v>37</v>
      </c>
      <c r="H101" s="44"/>
      <c r="I101" s="49"/>
      <c r="J101" s="50"/>
      <c r="K101" s="50">
        <f t="shared" si="4"/>
      </c>
      <c r="L101" s="51"/>
      <c r="M101" s="52"/>
      <c r="N101" s="51">
        <f t="shared" si="5"/>
      </c>
      <c r="O101" s="29"/>
      <c r="P101" s="47"/>
      <c r="Q101" s="26"/>
      <c r="R101" s="25"/>
      <c r="S101" s="25"/>
      <c r="T101" s="25"/>
    </row>
    <row r="102" ht="30.75" customHeight="1" spans="1:20" x14ac:dyDescent="0.25">
      <c r="A102" s="26"/>
      <c r="B102" s="44"/>
      <c r="C102" s="44"/>
      <c r="D102" s="44"/>
      <c r="E102" s="44"/>
      <c r="F102" s="49"/>
      <c r="G102" s="44" t="s">
        <v>37</v>
      </c>
      <c r="H102" s="44"/>
      <c r="I102" s="49"/>
      <c r="J102" s="50"/>
      <c r="K102" s="50">
        <f t="shared" si="4"/>
      </c>
      <c r="L102" s="51"/>
      <c r="M102" s="52"/>
      <c r="N102" s="51">
        <f t="shared" si="5"/>
      </c>
      <c r="O102" s="29"/>
      <c r="P102" s="47"/>
      <c r="Q102" s="26"/>
      <c r="R102" s="25"/>
      <c r="S102" s="25"/>
      <c r="T102" s="25"/>
    </row>
    <row r="103" ht="30.75" customHeight="1" spans="1:20" x14ac:dyDescent="0.25">
      <c r="A103" s="26"/>
      <c r="B103" s="44"/>
      <c r="C103" s="44"/>
      <c r="D103" s="44"/>
      <c r="E103" s="44"/>
      <c r="F103" s="49"/>
      <c r="G103" s="44" t="s">
        <v>37</v>
      </c>
      <c r="H103" s="44"/>
      <c r="I103" s="49"/>
      <c r="J103" s="50"/>
      <c r="K103" s="50">
        <f t="shared" si="4"/>
      </c>
      <c r="L103" s="51"/>
      <c r="M103" s="52"/>
      <c r="N103" s="51">
        <f t="shared" si="5"/>
      </c>
      <c r="O103" s="29"/>
      <c r="P103" s="47"/>
      <c r="Q103" s="26"/>
      <c r="R103" s="25"/>
      <c r="S103" s="25"/>
      <c r="T103" s="25"/>
    </row>
    <row r="104" ht="30.75" customHeight="1" spans="1:20" x14ac:dyDescent="0.25">
      <c r="A104" s="26"/>
      <c r="B104" s="44"/>
      <c r="C104" s="44"/>
      <c r="D104" s="44"/>
      <c r="E104" s="44"/>
      <c r="F104" s="49"/>
      <c r="G104" s="44" t="s">
        <v>37</v>
      </c>
      <c r="H104" s="44"/>
      <c r="I104" s="49"/>
      <c r="J104" s="50"/>
      <c r="K104" s="50">
        <f t="shared" si="4"/>
      </c>
      <c r="L104" s="51"/>
      <c r="M104" s="52"/>
      <c r="N104" s="51">
        <f t="shared" si="5"/>
      </c>
      <c r="O104" s="29"/>
      <c r="P104" s="47"/>
      <c r="Q104" s="26"/>
      <c r="R104" s="25"/>
      <c r="S104" s="25"/>
      <c r="T104" s="25"/>
    </row>
    <row r="105" ht="30.75" customHeight="1" spans="1:20" x14ac:dyDescent="0.25">
      <c r="A105" s="26"/>
      <c r="B105" s="44"/>
      <c r="C105" s="44"/>
      <c r="D105" s="44"/>
      <c r="E105" s="44"/>
      <c r="F105" s="49"/>
      <c r="G105" s="44" t="s">
        <v>37</v>
      </c>
      <c r="H105" s="44"/>
      <c r="I105" s="49"/>
      <c r="J105" s="50"/>
      <c r="K105" s="50">
        <f t="shared" si="4"/>
      </c>
      <c r="L105" s="51"/>
      <c r="M105" s="52"/>
      <c r="N105" s="51">
        <f t="shared" si="5"/>
      </c>
      <c r="O105" s="29"/>
      <c r="P105" s="47"/>
      <c r="Q105" s="26"/>
      <c r="R105" s="25"/>
      <c r="S105" s="25"/>
      <c r="T105" s="25"/>
    </row>
    <row r="106" ht="30.75" customHeight="1" spans="1:20" x14ac:dyDescent="0.25">
      <c r="A106" s="26"/>
      <c r="B106" s="44"/>
      <c r="C106" s="44"/>
      <c r="D106" s="44"/>
      <c r="E106" s="44"/>
      <c r="F106" s="49"/>
      <c r="G106" s="44" t="s">
        <v>37</v>
      </c>
      <c r="H106" s="44"/>
      <c r="I106" s="49"/>
      <c r="J106" s="50"/>
      <c r="K106" s="50">
        <f t="shared" si="4"/>
      </c>
      <c r="L106" s="51"/>
      <c r="M106" s="52"/>
      <c r="N106" s="51">
        <f t="shared" si="5"/>
      </c>
      <c r="O106" s="29"/>
      <c r="P106" s="47"/>
      <c r="Q106" s="26"/>
      <c r="R106" s="25"/>
      <c r="S106" s="25"/>
      <c r="T106" s="25"/>
    </row>
    <row r="107" ht="30.75" customHeight="1" spans="1:20" x14ac:dyDescent="0.25">
      <c r="A107" s="26"/>
      <c r="B107" s="44"/>
      <c r="C107" s="44"/>
      <c r="D107" s="44"/>
      <c r="E107" s="44"/>
      <c r="F107" s="49"/>
      <c r="G107" s="44" t="s">
        <v>37</v>
      </c>
      <c r="H107" s="44"/>
      <c r="I107" s="49"/>
      <c r="J107" s="50"/>
      <c r="K107" s="50">
        <f t="shared" si="4"/>
      </c>
      <c r="L107" s="51"/>
      <c r="M107" s="52"/>
      <c r="N107" s="51">
        <f t="shared" si="5"/>
      </c>
      <c r="O107" s="29"/>
      <c r="P107" s="47"/>
      <c r="Q107" s="26"/>
      <c r="R107" s="25"/>
      <c r="S107" s="25"/>
      <c r="T107" s="25"/>
    </row>
    <row r="108" ht="30.75" customHeight="1" spans="1:20" x14ac:dyDescent="0.25">
      <c r="A108" s="26"/>
      <c r="B108" s="44"/>
      <c r="C108" s="44"/>
      <c r="D108" s="44"/>
      <c r="E108" s="44"/>
      <c r="F108" s="49"/>
      <c r="G108" s="44" t="s">
        <v>37</v>
      </c>
      <c r="H108" s="44"/>
      <c r="I108" s="49"/>
      <c r="J108" s="50"/>
      <c r="K108" s="50">
        <f t="shared" si="4"/>
      </c>
      <c r="L108" s="51"/>
      <c r="M108" s="52"/>
      <c r="N108" s="51">
        <f t="shared" si="5"/>
      </c>
      <c r="O108" s="29"/>
      <c r="P108" s="47"/>
      <c r="Q108" s="26"/>
      <c r="R108" s="25"/>
      <c r="S108" s="25"/>
      <c r="T108" s="25"/>
    </row>
    <row r="109" ht="30.75" customHeight="1" spans="1:20" x14ac:dyDescent="0.25">
      <c r="A109" s="26"/>
      <c r="B109" s="44"/>
      <c r="C109" s="44"/>
      <c r="D109" s="44"/>
      <c r="E109" s="44"/>
      <c r="F109" s="49"/>
      <c r="G109" s="44" t="s">
        <v>37</v>
      </c>
      <c r="H109" s="44"/>
      <c r="I109" s="49"/>
      <c r="J109" s="50"/>
      <c r="K109" s="50">
        <f t="shared" si="4"/>
      </c>
      <c r="L109" s="51"/>
      <c r="M109" s="52"/>
      <c r="N109" s="51">
        <f t="shared" si="5"/>
      </c>
      <c r="O109" s="29"/>
      <c r="P109" s="47"/>
      <c r="Q109" s="26"/>
      <c r="R109" s="25"/>
      <c r="S109" s="25"/>
      <c r="T109" s="25"/>
    </row>
    <row r="110" ht="30.75" customHeight="1" spans="1:20" x14ac:dyDescent="0.25">
      <c r="A110" s="26"/>
      <c r="B110" s="44"/>
      <c r="C110" s="44"/>
      <c r="D110" s="44"/>
      <c r="E110" s="44"/>
      <c r="F110" s="49"/>
      <c r="G110" s="44" t="s">
        <v>37</v>
      </c>
      <c r="H110" s="44"/>
      <c r="I110" s="49"/>
      <c r="J110" s="50"/>
      <c r="K110" s="50">
        <f t="shared" si="4"/>
      </c>
      <c r="L110" s="38"/>
      <c r="M110" s="53"/>
      <c r="N110" s="51">
        <f t="shared" si="5"/>
      </c>
      <c r="O110" s="29"/>
      <c r="P110" s="47"/>
      <c r="Q110" s="26"/>
      <c r="R110" s="25"/>
      <c r="S110" s="25"/>
      <c r="T110" s="25"/>
    </row>
    <row r="111" ht="26.25" customHeight="1" spans="1:20" x14ac:dyDescent="0.25">
      <c r="A111" s="26"/>
      <c r="B111" s="44" t="s">
        <v>25</v>
      </c>
      <c r="C111" s="44"/>
      <c r="D111" s="44"/>
      <c r="E111" s="44"/>
      <c r="F111" s="44"/>
      <c r="G111" s="44"/>
      <c r="H111" s="44"/>
      <c r="I111" s="44"/>
      <c r="J111" s="45"/>
      <c r="K111" s="54">
        <f>SUM(K86:K110)</f>
      </c>
      <c r="L111" s="54"/>
      <c r="M111" s="56"/>
      <c r="N111" s="57">
        <f>SUM(N86:N110)</f>
      </c>
      <c r="O111" s="29"/>
      <c r="P111" s="29"/>
      <c r="Q111" s="26"/>
      <c r="R111" s="25"/>
      <c r="S111" s="25"/>
      <c r="T111" s="25"/>
    </row>
  </sheetData>
  <mergeCells count="183">
    <mergeCell ref="E1:J3"/>
    <mergeCell ref="L4:M4"/>
    <mergeCell ref="L5:M5"/>
    <mergeCell ref="N4:N5"/>
    <mergeCell ref="F7:G7"/>
    <mergeCell ref="B11:E11"/>
    <mergeCell ref="G11:H11"/>
    <mergeCell ref="K11:L11"/>
    <mergeCell ref="M11:N11"/>
    <mergeCell ref="B12:E12"/>
    <mergeCell ref="G12:H12"/>
    <mergeCell ref="B13:E13"/>
    <mergeCell ref="G13:H13"/>
    <mergeCell ref="B14:E14"/>
    <mergeCell ref="G14:H14"/>
    <mergeCell ref="B15:E15"/>
    <mergeCell ref="G15:H15"/>
    <mergeCell ref="B16:E16"/>
    <mergeCell ref="G16:H16"/>
    <mergeCell ref="B17:E17"/>
    <mergeCell ref="G17:H17"/>
    <mergeCell ref="B18:E18"/>
    <mergeCell ref="G18:H18"/>
    <mergeCell ref="B19:E19"/>
    <mergeCell ref="G19:H19"/>
    <mergeCell ref="B20:E20"/>
    <mergeCell ref="G20:H20"/>
    <mergeCell ref="B21:E21"/>
    <mergeCell ref="G21:H21"/>
    <mergeCell ref="B22:E22"/>
    <mergeCell ref="G22:H22"/>
    <mergeCell ref="B23:E23"/>
    <mergeCell ref="G23:H23"/>
    <mergeCell ref="B24:E24"/>
    <mergeCell ref="G24:H24"/>
    <mergeCell ref="B25:E25"/>
    <mergeCell ref="G25:H25"/>
    <mergeCell ref="B26:E26"/>
    <mergeCell ref="G26:H26"/>
    <mergeCell ref="B27:E27"/>
    <mergeCell ref="G27:H27"/>
    <mergeCell ref="B28:E28"/>
    <mergeCell ref="G28:H28"/>
    <mergeCell ref="B29:E29"/>
    <mergeCell ref="G29:H29"/>
    <mergeCell ref="B30:E30"/>
    <mergeCell ref="G30:H30"/>
    <mergeCell ref="B31:E31"/>
    <mergeCell ref="G31:H31"/>
    <mergeCell ref="B32:E32"/>
    <mergeCell ref="G32:H32"/>
    <mergeCell ref="B33:E33"/>
    <mergeCell ref="G33:H33"/>
    <mergeCell ref="B34:E34"/>
    <mergeCell ref="G34:H34"/>
    <mergeCell ref="B35:E35"/>
    <mergeCell ref="G35:H35"/>
    <mergeCell ref="B36:E36"/>
    <mergeCell ref="G36:H36"/>
    <mergeCell ref="B37:I37"/>
    <mergeCell ref="K37:L37"/>
    <mergeCell ref="E38:J40"/>
    <mergeCell ref="L41:M41"/>
    <mergeCell ref="L42:M42"/>
    <mergeCell ref="N41:N42"/>
    <mergeCell ref="F44:G44"/>
    <mergeCell ref="B48:E48"/>
    <mergeCell ref="G48:H48"/>
    <mergeCell ref="K48:L48"/>
    <mergeCell ref="M48:N48"/>
    <mergeCell ref="B49:E49"/>
    <mergeCell ref="G49:H49"/>
    <mergeCell ref="B50:E50"/>
    <mergeCell ref="G50:H50"/>
    <mergeCell ref="B51:E51"/>
    <mergeCell ref="G51:H51"/>
    <mergeCell ref="B52:E52"/>
    <mergeCell ref="G52:H52"/>
    <mergeCell ref="B53:E53"/>
    <mergeCell ref="G53:H53"/>
    <mergeCell ref="B54:E54"/>
    <mergeCell ref="G54:H54"/>
    <mergeCell ref="B55:E55"/>
    <mergeCell ref="G55:H55"/>
    <mergeCell ref="B56:E56"/>
    <mergeCell ref="G56:H56"/>
    <mergeCell ref="B57:E57"/>
    <mergeCell ref="G57:H57"/>
    <mergeCell ref="B58:E58"/>
    <mergeCell ref="G58:H58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B68:E68"/>
    <mergeCell ref="G68:H68"/>
    <mergeCell ref="B69:E69"/>
    <mergeCell ref="G69:H69"/>
    <mergeCell ref="B70:E70"/>
    <mergeCell ref="G70:H70"/>
    <mergeCell ref="B71:E71"/>
    <mergeCell ref="G71:H71"/>
    <mergeCell ref="B72:E72"/>
    <mergeCell ref="G72:H72"/>
    <mergeCell ref="B73:E73"/>
    <mergeCell ref="G73:H73"/>
    <mergeCell ref="B74:I74"/>
    <mergeCell ref="K74:L74"/>
    <mergeCell ref="E75:J77"/>
    <mergeCell ref="L78:M78"/>
    <mergeCell ref="L79:M79"/>
    <mergeCell ref="N78:N79"/>
    <mergeCell ref="F81:G81"/>
    <mergeCell ref="B85:E85"/>
    <mergeCell ref="G85:H85"/>
    <mergeCell ref="K85:L85"/>
    <mergeCell ref="M85:N85"/>
    <mergeCell ref="B86:E86"/>
    <mergeCell ref="G86:H86"/>
    <mergeCell ref="B87:E87"/>
    <mergeCell ref="G87:H87"/>
    <mergeCell ref="B88:E88"/>
    <mergeCell ref="G88:H88"/>
    <mergeCell ref="B89:E89"/>
    <mergeCell ref="G89:H89"/>
    <mergeCell ref="B90:E90"/>
    <mergeCell ref="G90:H90"/>
    <mergeCell ref="B91:E91"/>
    <mergeCell ref="G91:H91"/>
    <mergeCell ref="B92:E92"/>
    <mergeCell ref="G92:H92"/>
    <mergeCell ref="B93:E93"/>
    <mergeCell ref="G93:H93"/>
    <mergeCell ref="B94:E94"/>
    <mergeCell ref="G94:H94"/>
    <mergeCell ref="B95:E95"/>
    <mergeCell ref="G95:H95"/>
    <mergeCell ref="B96:E96"/>
    <mergeCell ref="G96:H96"/>
    <mergeCell ref="B97:E97"/>
    <mergeCell ref="G97:H97"/>
    <mergeCell ref="B98:E98"/>
    <mergeCell ref="G98:H98"/>
    <mergeCell ref="B99:E99"/>
    <mergeCell ref="G99:H99"/>
    <mergeCell ref="B100:E100"/>
    <mergeCell ref="G100:H100"/>
    <mergeCell ref="B101:E101"/>
    <mergeCell ref="G101:H101"/>
    <mergeCell ref="B102:E102"/>
    <mergeCell ref="G102:H102"/>
    <mergeCell ref="B103:E103"/>
    <mergeCell ref="G103:H103"/>
    <mergeCell ref="B104:E104"/>
    <mergeCell ref="G104:H104"/>
    <mergeCell ref="B105:E105"/>
    <mergeCell ref="G105:H105"/>
    <mergeCell ref="B106:E106"/>
    <mergeCell ref="G106:H106"/>
    <mergeCell ref="B107:E107"/>
    <mergeCell ref="G107:H107"/>
    <mergeCell ref="B108:E108"/>
    <mergeCell ref="G108:H108"/>
    <mergeCell ref="B109:E109"/>
    <mergeCell ref="G109:H109"/>
    <mergeCell ref="B110:E110"/>
    <mergeCell ref="G110:H110"/>
    <mergeCell ref="B111:I111"/>
    <mergeCell ref="K111:L111"/>
  </mergeCells>
  <pageMargins left="0.1968503937007874" right="0.1968503937007874" top="0.7480314960629921" bottom="0.7480314960629921" header="0.31496062992125984" footer="0.31496062992125984"/>
  <pageSetup paperSize="9" orientation="portrait" horizontalDpi="4294967295" verticalDpi="4294967295" scale="83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workbookViewId="0" zoomScale="100" zoomScaleNormal="100">
      <selection activeCell="Q32" sqref="Q32"/>
    </sheetView>
  </sheetViews>
  <sheetFormatPr defaultRowHeight="13.5" outlineLevelRow="0" outlineLevelCol="0" x14ac:dyDescent="0.1" customHeight="1"/>
  <cols>
    <col min="1" max="1" width="1.2265625" customWidth="1"/>
    <col min="2" max="2" width="12.81640625" customWidth="1"/>
    <col min="3" max="3" width="6.40625" customWidth="1"/>
    <col min="4" max="10" width="9.1328125" customWidth="1"/>
    <col min="11" max="11" width="1.363281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46" t="s">
        <v>122</v>
      </c>
      <c r="K1" s="1"/>
    </row>
    <row r="2" ht="15" customHeight="1" spans="1:11" x14ac:dyDescent="0.25">
      <c r="A2" s="1"/>
      <c r="B2" s="1"/>
      <c r="C2" s="1"/>
      <c r="D2" s="1"/>
      <c r="E2" s="11" t="s">
        <v>209</v>
      </c>
      <c r="F2" s="11"/>
      <c r="G2" s="11"/>
      <c r="H2" s="1"/>
      <c r="I2" s="1"/>
      <c r="J2" s="1"/>
      <c r="K2" s="1"/>
    </row>
    <row r="3" ht="15" customHeight="1" spans="1:11" x14ac:dyDescent="0.25">
      <c r="A3" s="1"/>
      <c r="B3" s="1"/>
      <c r="C3" s="1"/>
      <c r="D3" s="1"/>
      <c r="E3" s="11"/>
      <c r="F3" s="11"/>
      <c r="G3" s="11"/>
      <c r="H3" s="1"/>
      <c r="I3" s="1"/>
      <c r="J3" s="6" t="s">
        <v>124</v>
      </c>
      <c r="K3" s="1"/>
    </row>
    <row r="4" ht="15" customHeight="1" spans="1:11" x14ac:dyDescent="0.25">
      <c r="A4" s="1"/>
      <c r="B4" s="1"/>
      <c r="C4" s="1"/>
      <c r="D4" s="1"/>
      <c r="E4" s="11"/>
      <c r="F4" s="11"/>
      <c r="G4" s="11"/>
      <c r="H4" s="1"/>
      <c r="I4" s="1"/>
      <c r="J4" s="121"/>
      <c r="K4" s="1"/>
    </row>
    <row r="5" ht="15" customHeight="1" spans="1:11" x14ac:dyDescent="0.25">
      <c r="A5" s="1"/>
      <c r="B5" s="12" t="s">
        <v>125</v>
      </c>
      <c r="C5" s="12"/>
      <c r="D5" s="12"/>
      <c r="E5" s="1"/>
      <c r="F5" s="1"/>
      <c r="G5" s="1"/>
      <c r="H5" s="1"/>
      <c r="I5" s="1"/>
      <c r="J5" s="7"/>
      <c r="K5" s="1"/>
    </row>
    <row r="6" ht="15" customHeight="1" spans="1:11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"/>
    </row>
    <row r="7" ht="15" customHeight="1" spans="1:11" x14ac:dyDescent="0.25">
      <c r="A7" s="1"/>
      <c r="B7" s="12" t="s">
        <v>14</v>
      </c>
      <c r="C7" s="12"/>
      <c r="D7" s="12"/>
      <c r="E7" s="1"/>
      <c r="F7" s="124"/>
      <c r="G7" s="124"/>
      <c r="H7" s="1"/>
      <c r="I7" s="1"/>
      <c r="J7" s="9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20.25" customHeight="1" spans="1:11" x14ac:dyDescent="0.25">
      <c r="A9" s="1"/>
      <c r="B9" s="21"/>
      <c r="C9" s="22"/>
      <c r="D9" s="17" t="s">
        <v>93</v>
      </c>
      <c r="E9" s="19"/>
      <c r="F9" s="17" t="s">
        <v>127</v>
      </c>
      <c r="G9" s="19"/>
      <c r="H9" s="17" t="s">
        <v>128</v>
      </c>
      <c r="I9" s="19"/>
      <c r="J9" s="13" t="s">
        <v>129</v>
      </c>
      <c r="K9" s="1"/>
    </row>
    <row r="10" ht="20.25" customHeight="1" spans="1:11" x14ac:dyDescent="0.25">
      <c r="A10" s="1"/>
      <c r="B10" s="125"/>
      <c r="C10" s="126"/>
      <c r="D10" s="17" t="s">
        <v>23</v>
      </c>
      <c r="E10" s="19"/>
      <c r="F10" s="17" t="s">
        <v>23</v>
      </c>
      <c r="G10" s="19"/>
      <c r="H10" s="17" t="s">
        <v>210</v>
      </c>
      <c r="I10" s="19"/>
      <c r="J10" s="14"/>
      <c r="K10" s="1"/>
    </row>
    <row r="11" ht="36" customHeight="1" spans="1:11" x14ac:dyDescent="0.25">
      <c r="A11" s="1"/>
      <c r="B11" s="128" t="s">
        <v>211</v>
      </c>
      <c r="C11" s="129" t="s">
        <v>134</v>
      </c>
      <c r="D11" s="147"/>
      <c r="E11" s="148"/>
      <c r="F11" s="147"/>
      <c r="G11" s="148"/>
      <c r="H11" s="149"/>
      <c r="I11" s="150"/>
      <c r="J11" s="20"/>
      <c r="K11" s="1"/>
    </row>
    <row r="12" ht="36" customHeight="1" spans="1:11" x14ac:dyDescent="0.25">
      <c r="A12" s="1"/>
      <c r="B12" s="128" t="s">
        <v>78</v>
      </c>
      <c r="C12" s="129" t="s">
        <v>135</v>
      </c>
      <c r="D12" s="147"/>
      <c r="E12" s="148"/>
      <c r="F12" s="147"/>
      <c r="G12" s="148"/>
      <c r="H12" s="149"/>
      <c r="I12" s="150"/>
      <c r="J12" s="20"/>
      <c r="K12" s="1"/>
    </row>
    <row r="13" ht="36" customHeight="1" spans="1:11" x14ac:dyDescent="0.25">
      <c r="A13" s="1"/>
      <c r="B13" s="128" t="s">
        <v>136</v>
      </c>
      <c r="C13" s="129" t="s">
        <v>137</v>
      </c>
      <c r="D13" s="147"/>
      <c r="E13" s="148"/>
      <c r="F13" s="147"/>
      <c r="G13" s="148"/>
      <c r="H13" s="149"/>
      <c r="I13" s="150"/>
      <c r="J13" s="20"/>
      <c r="K13" s="1"/>
    </row>
    <row r="14" ht="36" customHeight="1" spans="1:11" x14ac:dyDescent="0.25">
      <c r="A14" s="1"/>
      <c r="B14" s="128" t="s">
        <v>138</v>
      </c>
      <c r="C14" s="129" t="s">
        <v>135</v>
      </c>
      <c r="D14" s="147"/>
      <c r="E14" s="148"/>
      <c r="F14" s="147"/>
      <c r="G14" s="148"/>
      <c r="H14" s="149"/>
      <c r="I14" s="150"/>
      <c r="J14" s="20"/>
      <c r="K14" s="1"/>
    </row>
    <row r="15" ht="36" customHeight="1" spans="1:11" x14ac:dyDescent="0.25">
      <c r="A15" s="1"/>
      <c r="B15" s="128" t="s">
        <v>140</v>
      </c>
      <c r="C15" s="129" t="s">
        <v>141</v>
      </c>
      <c r="D15" s="147"/>
      <c r="E15" s="148"/>
      <c r="F15" s="147"/>
      <c r="G15" s="148"/>
      <c r="H15" s="149"/>
      <c r="I15" s="150"/>
      <c r="J15" s="20"/>
      <c r="K15" s="1"/>
    </row>
    <row r="16" ht="36" customHeight="1" spans="1:11" x14ac:dyDescent="0.25">
      <c r="A16" s="1"/>
      <c r="B16" s="128" t="s">
        <v>142</v>
      </c>
      <c r="C16" s="129" t="s">
        <v>143</v>
      </c>
      <c r="D16" s="147"/>
      <c r="E16" s="148"/>
      <c r="F16" s="147"/>
      <c r="G16" s="148"/>
      <c r="H16" s="149"/>
      <c r="I16" s="150"/>
      <c r="J16" s="20"/>
      <c r="K16" s="1"/>
    </row>
    <row r="17" ht="36" customHeight="1" spans="1:11" x14ac:dyDescent="0.25">
      <c r="A17" s="1"/>
      <c r="B17" s="128" t="s">
        <v>144</v>
      </c>
      <c r="C17" s="129" t="s">
        <v>145</v>
      </c>
      <c r="D17" s="147"/>
      <c r="E17" s="148"/>
      <c r="F17" s="147"/>
      <c r="G17" s="148"/>
      <c r="H17" s="149"/>
      <c r="I17" s="150"/>
      <c r="J17" s="20"/>
      <c r="K17" s="1"/>
    </row>
    <row r="18" ht="36" customHeight="1" spans="1:11" x14ac:dyDescent="0.25">
      <c r="A18" s="1"/>
      <c r="B18" s="128" t="s">
        <v>146</v>
      </c>
      <c r="C18" s="129" t="s">
        <v>147</v>
      </c>
      <c r="D18" s="147"/>
      <c r="E18" s="148"/>
      <c r="F18" s="147"/>
      <c r="G18" s="148"/>
      <c r="H18" s="149"/>
      <c r="I18" s="150"/>
      <c r="J18" s="20"/>
      <c r="K18" s="1"/>
    </row>
    <row r="19" ht="36" customHeight="1" spans="1:11" x14ac:dyDescent="0.25">
      <c r="A19" s="1"/>
      <c r="B19" s="128" t="s">
        <v>212</v>
      </c>
      <c r="C19" s="129" t="s">
        <v>213</v>
      </c>
      <c r="D19" s="147"/>
      <c r="E19" s="148"/>
      <c r="F19" s="147"/>
      <c r="G19" s="148"/>
      <c r="H19" s="149"/>
      <c r="I19" s="150"/>
      <c r="J19" s="20"/>
      <c r="K19" s="1"/>
    </row>
    <row r="20" ht="36" customHeight="1" spans="1:11" x14ac:dyDescent="0.25">
      <c r="A20" s="1"/>
      <c r="B20" s="128" t="s">
        <v>148</v>
      </c>
      <c r="C20" s="129" t="s">
        <v>149</v>
      </c>
      <c r="D20" s="147"/>
      <c r="E20" s="148"/>
      <c r="F20" s="147"/>
      <c r="G20" s="148"/>
      <c r="H20" s="149"/>
      <c r="I20" s="150"/>
      <c r="J20" s="20"/>
      <c r="K20" s="1"/>
    </row>
    <row r="21" ht="30" customHeight="1" spans="1:11" x14ac:dyDescent="0.25">
      <c r="A21" s="1"/>
      <c r="B21" s="17" t="s">
        <v>150</v>
      </c>
      <c r="C21" s="19"/>
      <c r="D21" s="149"/>
      <c r="E21" s="150"/>
      <c r="F21" s="149"/>
      <c r="G21" s="150"/>
      <c r="H21" s="149"/>
      <c r="I21" s="150"/>
      <c r="J21" s="6" t="s">
        <v>151</v>
      </c>
      <c r="K21" s="1"/>
    </row>
    <row r="22" ht="36" customHeight="1" spans="1:11" x14ac:dyDescent="0.25">
      <c r="A22" s="1"/>
      <c r="B22" s="128" t="s">
        <v>184</v>
      </c>
      <c r="C22" s="129" t="s">
        <v>214</v>
      </c>
      <c r="D22" s="147"/>
      <c r="E22" s="148"/>
      <c r="F22" s="147"/>
      <c r="G22" s="148"/>
      <c r="H22" s="149"/>
      <c r="I22" s="150"/>
      <c r="J22" s="20"/>
      <c r="K22" s="1"/>
    </row>
    <row r="23" ht="36" customHeight="1" spans="1:11" x14ac:dyDescent="0.25">
      <c r="A23" s="1"/>
      <c r="B23" s="128" t="s">
        <v>215</v>
      </c>
      <c r="C23" s="129" t="s">
        <v>216</v>
      </c>
      <c r="D23" s="147"/>
      <c r="E23" s="148"/>
      <c r="F23" s="147"/>
      <c r="G23" s="148"/>
      <c r="H23" s="149"/>
      <c r="I23" s="150"/>
      <c r="J23" s="20"/>
      <c r="K23" s="1"/>
    </row>
    <row r="24" ht="36" customHeight="1" spans="1:11" x14ac:dyDescent="0.25">
      <c r="A24" s="1"/>
      <c r="B24" s="128" t="s">
        <v>194</v>
      </c>
      <c r="C24" s="129" t="s">
        <v>217</v>
      </c>
      <c r="D24" s="147"/>
      <c r="E24" s="148"/>
      <c r="F24" s="147"/>
      <c r="G24" s="148"/>
      <c r="H24" s="149"/>
      <c r="I24" s="150"/>
      <c r="J24" s="20"/>
      <c r="K24" s="1"/>
    </row>
    <row r="25" ht="30" customHeight="1" spans="1:11" x14ac:dyDescent="0.25">
      <c r="A25" s="1"/>
      <c r="B25" s="17" t="s">
        <v>218</v>
      </c>
      <c r="C25" s="19"/>
      <c r="D25" s="149"/>
      <c r="E25" s="150"/>
      <c r="F25" s="149"/>
      <c r="G25" s="150"/>
      <c r="H25" s="149"/>
      <c r="I25" s="150"/>
      <c r="J25" s="6" t="s">
        <v>151</v>
      </c>
      <c r="K25" s="1"/>
    </row>
    <row r="26" spans="1:11" x14ac:dyDescent="0.25">
      <c r="A26" s="1"/>
      <c r="B26" s="137"/>
      <c r="C26" s="137"/>
      <c r="D26" s="137"/>
      <c r="E26" s="137"/>
      <c r="F26" s="137"/>
      <c r="G26" s="137"/>
      <c r="H26" s="137"/>
      <c r="I26" s="137"/>
      <c r="J26" s="137"/>
      <c r="K26" s="1"/>
    </row>
    <row r="27" spans="1:11" x14ac:dyDescent="0.25">
      <c r="A27" s="1"/>
      <c r="B27" s="1" t="s">
        <v>219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6" t="s">
        <v>220</v>
      </c>
      <c r="G28" s="16"/>
      <c r="H28" s="1"/>
      <c r="I28" s="16" t="s">
        <v>221</v>
      </c>
      <c r="J28" s="16"/>
      <c r="K28" s="1"/>
    </row>
    <row r="29" spans="1:11" x14ac:dyDescent="0.25">
      <c r="A29" s="1"/>
      <c r="B29" s="1"/>
      <c r="C29" s="1"/>
      <c r="D29" s="1"/>
      <c r="E29" s="1"/>
      <c r="F29" s="17" t="s">
        <v>9</v>
      </c>
      <c r="G29" s="6" t="s">
        <v>154</v>
      </c>
      <c r="H29" s="1"/>
      <c r="I29" s="17" t="s">
        <v>9</v>
      </c>
      <c r="J29" s="6" t="s">
        <v>154</v>
      </c>
      <c r="K29" s="1"/>
    </row>
    <row r="30" spans="1:11" x14ac:dyDescent="0.25">
      <c r="A30" s="1"/>
      <c r="B30" s="1"/>
      <c r="C30" s="1"/>
      <c r="D30" s="1"/>
      <c r="E30" s="1"/>
      <c r="F30" s="151"/>
      <c r="G30" s="121"/>
      <c r="H30" s="1"/>
      <c r="I30" s="121"/>
      <c r="J30" s="121"/>
      <c r="K30" s="1"/>
    </row>
    <row r="31" spans="1:11" x14ac:dyDescent="0.25">
      <c r="A31" s="1"/>
      <c r="B31" s="1"/>
      <c r="C31" s="1"/>
      <c r="D31" s="1"/>
      <c r="E31" s="1"/>
      <c r="F31" s="140"/>
      <c r="G31" s="7"/>
      <c r="H31" s="1"/>
      <c r="I31" s="7"/>
      <c r="J31" s="7"/>
      <c r="K31" s="1"/>
    </row>
    <row r="32" spans="1:11" x14ac:dyDescent="0.25">
      <c r="A32" s="1"/>
      <c r="B32" s="1"/>
      <c r="C32" s="1"/>
      <c r="D32" s="1"/>
      <c r="E32" s="1"/>
      <c r="F32" s="140"/>
      <c r="G32" s="7"/>
      <c r="H32" s="1"/>
      <c r="I32" s="7"/>
      <c r="J32" s="7"/>
      <c r="K32" s="1"/>
    </row>
    <row r="33" spans="1:11" x14ac:dyDescent="0.25">
      <c r="A33" s="1"/>
      <c r="B33" s="1"/>
      <c r="C33" s="1"/>
      <c r="D33" s="1"/>
      <c r="E33" s="1"/>
      <c r="F33" s="143"/>
      <c r="G33" s="9"/>
      <c r="H33" s="1"/>
      <c r="I33" s="9"/>
      <c r="J33" s="9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46" t="s">
        <v>222</v>
      </c>
      <c r="K36" s="1"/>
    </row>
    <row r="37" spans="1:11" x14ac:dyDescent="0.25">
      <c r="A37" s="1"/>
      <c r="B37" s="1"/>
      <c r="C37" s="1"/>
      <c r="D37" s="1"/>
      <c r="E37" s="11" t="s">
        <v>209</v>
      </c>
      <c r="F37" s="11"/>
      <c r="G37" s="1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1"/>
      <c r="F38" s="11"/>
      <c r="G38" s="11"/>
      <c r="H38" s="1"/>
      <c r="I38" s="1"/>
      <c r="J38" s="6" t="s">
        <v>124</v>
      </c>
      <c r="K38" s="1"/>
    </row>
    <row r="39" spans="1:11" x14ac:dyDescent="0.25">
      <c r="A39" s="1"/>
      <c r="B39" s="1"/>
      <c r="C39" s="1"/>
      <c r="D39" s="1"/>
      <c r="E39" s="11"/>
      <c r="F39" s="11"/>
      <c r="G39" s="11"/>
      <c r="H39" s="1"/>
      <c r="I39" s="1"/>
      <c r="J39" s="121"/>
      <c r="K39" s="1"/>
    </row>
    <row r="40" spans="1:11" x14ac:dyDescent="0.25">
      <c r="A40" s="1"/>
      <c r="B40" s="12" t="s">
        <v>125</v>
      </c>
      <c r="C40" s="12"/>
      <c r="D40" s="12"/>
      <c r="E40" s="1"/>
      <c r="F40" s="1"/>
      <c r="G40" s="1"/>
      <c r="H40" s="1"/>
      <c r="I40" s="1"/>
      <c r="J40" s="7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7"/>
      <c r="K41" s="1"/>
    </row>
    <row r="42" spans="1:11" x14ac:dyDescent="0.25">
      <c r="A42" s="1"/>
      <c r="B42" s="12" t="s">
        <v>14</v>
      </c>
      <c r="C42" s="12"/>
      <c r="D42" s="12"/>
      <c r="E42" s="1"/>
      <c r="F42" s="124"/>
      <c r="G42" s="124"/>
      <c r="H42" s="1"/>
      <c r="I42" s="1"/>
      <c r="J42" s="9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20.25" customHeight="1" spans="1:11" x14ac:dyDescent="0.25">
      <c r="A44" s="1"/>
      <c r="B44" s="21"/>
      <c r="C44" s="22"/>
      <c r="D44" s="17" t="s">
        <v>223</v>
      </c>
      <c r="E44" s="19"/>
      <c r="F44" s="17" t="s">
        <v>127</v>
      </c>
      <c r="G44" s="19"/>
      <c r="H44" s="17" t="s">
        <v>128</v>
      </c>
      <c r="I44" s="19"/>
      <c r="J44" s="13" t="s">
        <v>129</v>
      </c>
      <c r="K44" s="1"/>
    </row>
    <row r="45" ht="20.25" customHeight="1" spans="1:11" x14ac:dyDescent="0.25">
      <c r="A45" s="1"/>
      <c r="B45" s="125"/>
      <c r="C45" s="126"/>
      <c r="D45" s="17" t="s">
        <v>23</v>
      </c>
      <c r="E45" s="19"/>
      <c r="F45" s="17" t="s">
        <v>23</v>
      </c>
      <c r="G45" s="19"/>
      <c r="H45" s="17" t="s">
        <v>210</v>
      </c>
      <c r="I45" s="19"/>
      <c r="J45" s="14"/>
      <c r="K45" s="1"/>
    </row>
    <row r="46" ht="36" customHeight="1" spans="1:11" x14ac:dyDescent="0.25">
      <c r="A46" s="1"/>
      <c r="B46" s="128" t="s">
        <v>178</v>
      </c>
      <c r="C46" s="129" t="s">
        <v>224</v>
      </c>
      <c r="D46" s="152"/>
      <c r="E46" s="153"/>
      <c r="F46" s="147"/>
      <c r="G46" s="148"/>
      <c r="H46" s="149"/>
      <c r="I46" s="150"/>
      <c r="J46" s="20"/>
      <c r="K46" s="1"/>
    </row>
    <row r="47" ht="36" customHeight="1" spans="1:11" x14ac:dyDescent="0.25">
      <c r="A47" s="1"/>
      <c r="B47" s="128" t="s">
        <v>179</v>
      </c>
      <c r="C47" s="129" t="s">
        <v>225</v>
      </c>
      <c r="D47" s="152"/>
      <c r="E47" s="153"/>
      <c r="F47" s="147"/>
      <c r="G47" s="148"/>
      <c r="H47" s="149"/>
      <c r="I47" s="150"/>
      <c r="J47" s="20"/>
      <c r="K47" s="1"/>
    </row>
    <row r="48" ht="36" customHeight="1" spans="1:11" x14ac:dyDescent="0.25">
      <c r="A48" s="1"/>
      <c r="B48" s="128" t="s">
        <v>181</v>
      </c>
      <c r="C48" s="129" t="s">
        <v>226</v>
      </c>
      <c r="D48" s="152"/>
      <c r="E48" s="153"/>
      <c r="F48" s="147"/>
      <c r="G48" s="148"/>
      <c r="H48" s="149"/>
      <c r="I48" s="150"/>
      <c r="J48" s="20"/>
      <c r="K48" s="1"/>
    </row>
    <row r="49" ht="36" customHeight="1" spans="1:11" x14ac:dyDescent="0.25">
      <c r="A49" s="1"/>
      <c r="B49" s="128" t="s">
        <v>227</v>
      </c>
      <c r="C49" s="129" t="s">
        <v>228</v>
      </c>
      <c r="D49" s="152"/>
      <c r="E49" s="153"/>
      <c r="F49" s="147"/>
      <c r="G49" s="148"/>
      <c r="H49" s="149"/>
      <c r="I49" s="150"/>
      <c r="J49" s="20"/>
      <c r="K49" s="1"/>
    </row>
    <row r="50" ht="36" customHeight="1" spans="1:11" x14ac:dyDescent="0.25">
      <c r="A50" s="1"/>
      <c r="B50" s="128" t="s">
        <v>185</v>
      </c>
      <c r="C50" s="129" t="s">
        <v>229</v>
      </c>
      <c r="D50" s="152"/>
      <c r="E50" s="153"/>
      <c r="F50" s="147"/>
      <c r="G50" s="148"/>
      <c r="H50" s="149"/>
      <c r="I50" s="150"/>
      <c r="J50" s="20"/>
      <c r="K50" s="1"/>
    </row>
    <row r="51" ht="36" customHeight="1" spans="1:11" x14ac:dyDescent="0.25">
      <c r="A51" s="1"/>
      <c r="B51" s="128" t="s">
        <v>230</v>
      </c>
      <c r="C51" s="129" t="s">
        <v>231</v>
      </c>
      <c r="D51" s="152"/>
      <c r="E51" s="153"/>
      <c r="F51" s="147"/>
      <c r="G51" s="148"/>
      <c r="H51" s="149"/>
      <c r="I51" s="150"/>
      <c r="J51" s="20"/>
      <c r="K51" s="1"/>
    </row>
    <row r="52" ht="36" customHeight="1" spans="1:11" x14ac:dyDescent="0.25">
      <c r="A52" s="1"/>
      <c r="B52" s="128" t="s">
        <v>199</v>
      </c>
      <c r="C52" s="129">
        <v>32</v>
      </c>
      <c r="D52" s="152"/>
      <c r="E52" s="153"/>
      <c r="F52" s="147"/>
      <c r="G52" s="148"/>
      <c r="H52" s="149"/>
      <c r="I52" s="150"/>
      <c r="J52" s="20"/>
      <c r="K52" s="1"/>
    </row>
    <row r="53" ht="36" customHeight="1" spans="1:11" x14ac:dyDescent="0.25">
      <c r="A53" s="1"/>
      <c r="B53" s="128" t="s">
        <v>200</v>
      </c>
      <c r="C53" s="129">
        <v>33</v>
      </c>
      <c r="D53" s="152"/>
      <c r="E53" s="153"/>
      <c r="F53" s="147"/>
      <c r="G53" s="148"/>
      <c r="H53" s="149"/>
      <c r="I53" s="150"/>
      <c r="J53" s="20"/>
      <c r="K53" s="1"/>
    </row>
    <row r="54" ht="36" customHeight="1" spans="1:11" x14ac:dyDescent="0.25">
      <c r="A54" s="1"/>
      <c r="B54" s="128" t="s">
        <v>201</v>
      </c>
      <c r="C54" s="129">
        <v>34</v>
      </c>
      <c r="D54" s="152"/>
      <c r="E54" s="153"/>
      <c r="F54" s="147"/>
      <c r="G54" s="148"/>
      <c r="H54" s="149"/>
      <c r="I54" s="150"/>
      <c r="J54" s="20"/>
      <c r="K54" s="1"/>
    </row>
    <row r="55" ht="30" customHeight="1" spans="1:11" x14ac:dyDescent="0.25">
      <c r="A55" s="1"/>
      <c r="B55" s="17" t="s">
        <v>232</v>
      </c>
      <c r="C55" s="19"/>
      <c r="D55" s="154"/>
      <c r="E55" s="155"/>
      <c r="F55" s="149"/>
      <c r="G55" s="150"/>
      <c r="H55" s="149"/>
      <c r="I55" s="150"/>
      <c r="J55" s="6" t="s">
        <v>151</v>
      </c>
      <c r="K55" s="1"/>
    </row>
    <row r="56" spans="1:11" x14ac:dyDescent="0.25">
      <c r="A56" s="1"/>
      <c r="B56" s="137"/>
      <c r="C56" s="137"/>
      <c r="D56" s="137"/>
      <c r="E56" s="137"/>
      <c r="F56" s="137"/>
      <c r="G56" s="137"/>
      <c r="H56" s="137"/>
      <c r="I56" s="137"/>
      <c r="J56" s="137"/>
      <c r="K56" s="1"/>
    </row>
    <row r="57" spans="1:11" x14ac:dyDescent="0.25">
      <c r="A57" s="1"/>
      <c r="B57" s="1" t="s">
        <v>219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6" t="s">
        <v>220</v>
      </c>
      <c r="G58" s="16"/>
      <c r="H58" s="1"/>
      <c r="I58" s="16" t="s">
        <v>221</v>
      </c>
      <c r="J58" s="16"/>
      <c r="K58" s="1"/>
    </row>
    <row r="59" spans="1:11" x14ac:dyDescent="0.25">
      <c r="A59" s="1"/>
      <c r="B59" s="1"/>
      <c r="C59" s="1"/>
      <c r="D59" s="1"/>
      <c r="E59" s="1"/>
      <c r="F59" s="17" t="s">
        <v>9</v>
      </c>
      <c r="G59" s="6" t="s">
        <v>154</v>
      </c>
      <c r="H59" s="1"/>
      <c r="I59" s="17" t="s">
        <v>9</v>
      </c>
      <c r="J59" s="6" t="s">
        <v>154</v>
      </c>
      <c r="K59" s="1"/>
    </row>
    <row r="60" spans="1:11" x14ac:dyDescent="0.25">
      <c r="A60" s="1"/>
      <c r="B60" s="1"/>
      <c r="C60" s="1"/>
      <c r="D60" s="1"/>
      <c r="E60" s="1"/>
      <c r="F60" s="151"/>
      <c r="G60" s="121"/>
      <c r="H60" s="1"/>
      <c r="I60" s="121"/>
      <c r="J60" s="121"/>
      <c r="K60" s="1"/>
    </row>
    <row r="61" spans="1:11" x14ac:dyDescent="0.25">
      <c r="A61" s="1"/>
      <c r="B61" s="1"/>
      <c r="C61" s="1"/>
      <c r="D61" s="1"/>
      <c r="E61" s="1"/>
      <c r="F61" s="140"/>
      <c r="G61" s="7"/>
      <c r="H61" s="1"/>
      <c r="I61" s="7"/>
      <c r="J61" s="7"/>
      <c r="K61" s="1"/>
    </row>
    <row r="62" spans="1:11" x14ac:dyDescent="0.25">
      <c r="A62" s="1"/>
      <c r="B62" s="1"/>
      <c r="C62" s="1"/>
      <c r="D62" s="1"/>
      <c r="E62" s="1"/>
      <c r="F62" s="140"/>
      <c r="G62" s="7"/>
      <c r="H62" s="1"/>
      <c r="I62" s="7"/>
      <c r="J62" s="7"/>
      <c r="K62" s="1"/>
    </row>
    <row r="63" spans="1:11" x14ac:dyDescent="0.25">
      <c r="A63" s="1"/>
      <c r="B63" s="1"/>
      <c r="C63" s="1"/>
      <c r="D63" s="1"/>
      <c r="E63" s="1"/>
      <c r="F63" s="143"/>
      <c r="G63" s="9"/>
      <c r="H63" s="1"/>
      <c r="I63" s="9"/>
      <c r="J63" s="9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</sheetData>
  <mergeCells count="102">
    <mergeCell ref="E2:G4"/>
    <mergeCell ref="F7:G7"/>
    <mergeCell ref="B9:C10"/>
    <mergeCell ref="D9:E9"/>
    <mergeCell ref="F9:G9"/>
    <mergeCell ref="H9:I9"/>
    <mergeCell ref="D10:E10"/>
    <mergeCell ref="F10:G10"/>
    <mergeCell ref="H10:I10"/>
    <mergeCell ref="J9:J10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  <mergeCell ref="D18:E18"/>
    <mergeCell ref="F18:G18"/>
    <mergeCell ref="H18:I18"/>
    <mergeCell ref="D19:E19"/>
    <mergeCell ref="F19:G19"/>
    <mergeCell ref="H19:I19"/>
    <mergeCell ref="D20:E20"/>
    <mergeCell ref="F20:G20"/>
    <mergeCell ref="H20:I20"/>
    <mergeCell ref="B21:C21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B25:C25"/>
    <mergeCell ref="D25:E25"/>
    <mergeCell ref="F25:G25"/>
    <mergeCell ref="H25:I25"/>
    <mergeCell ref="F28:G28"/>
    <mergeCell ref="I28:J28"/>
    <mergeCell ref="E37:G39"/>
    <mergeCell ref="F42:G42"/>
    <mergeCell ref="B44:C45"/>
    <mergeCell ref="D44:E44"/>
    <mergeCell ref="F44:G44"/>
    <mergeCell ref="H44:I44"/>
    <mergeCell ref="D45:E45"/>
    <mergeCell ref="F45:G45"/>
    <mergeCell ref="H45:I45"/>
    <mergeCell ref="J44:J45"/>
    <mergeCell ref="D46:E46"/>
    <mergeCell ref="F46:G46"/>
    <mergeCell ref="H46:I46"/>
    <mergeCell ref="D47:E47"/>
    <mergeCell ref="F47:G47"/>
    <mergeCell ref="H47:I47"/>
    <mergeCell ref="D48:E48"/>
    <mergeCell ref="F48:G48"/>
    <mergeCell ref="H48:I48"/>
    <mergeCell ref="D49:E49"/>
    <mergeCell ref="F49:G49"/>
    <mergeCell ref="H49:I49"/>
    <mergeCell ref="D50:E50"/>
    <mergeCell ref="F50:G50"/>
    <mergeCell ref="H50:I50"/>
    <mergeCell ref="D51:E51"/>
    <mergeCell ref="F51:G51"/>
    <mergeCell ref="H51:I51"/>
    <mergeCell ref="D52:E52"/>
    <mergeCell ref="F52:G52"/>
    <mergeCell ref="H52:I52"/>
    <mergeCell ref="D53:E53"/>
    <mergeCell ref="F53:G53"/>
    <mergeCell ref="H53:I53"/>
    <mergeCell ref="D54:E54"/>
    <mergeCell ref="F54:G54"/>
    <mergeCell ref="H54:I54"/>
    <mergeCell ref="B55:C55"/>
    <mergeCell ref="D55:E55"/>
    <mergeCell ref="F55:G55"/>
    <mergeCell ref="H55:I55"/>
    <mergeCell ref="F58:G58"/>
    <mergeCell ref="I58:J58"/>
  </mergeCells>
  <pageMargins left="0.7086614173228347" right="0.5118110236220472" top="0.7480314960629921" bottom="0.5511811023622047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"/>
  <sheetViews>
    <sheetView workbookViewId="0" zoomScale="100" zoomScaleNormal="100">
      <selection activeCell="K40" sqref="K40"/>
    </sheetView>
  </sheetViews>
  <sheetFormatPr defaultRowHeight="13.5" outlineLevelRow="0" outlineLevelCol="0" x14ac:dyDescent="0.1" customHeight="1"/>
  <sheetData>
    <row r="2" spans="1:11" x14ac:dyDescent="0.25">
      <c r="A2" t="s">
        <v>158</v>
      </c>
      <c r="D2" t="s">
        <v>159</v>
      </c>
      <c r="G2" t="s">
        <v>160</v>
      </c>
      <c r="K2" s="145" t="s">
        <v>161</v>
      </c>
    </row>
    <row r="3" spans="1:11" x14ac:dyDescent="0.25">
      <c r="A3" t="s">
        <v>162</v>
      </c>
      <c r="B3" t="s">
        <v>163</v>
      </c>
      <c r="D3" t="s">
        <v>162</v>
      </c>
      <c r="E3" t="s">
        <v>163</v>
      </c>
      <c r="G3" t="s">
        <v>162</v>
      </c>
      <c r="H3" t="s">
        <v>163</v>
      </c>
      <c r="K3" s="145" t="s">
        <v>164</v>
      </c>
    </row>
    <row r="4" spans="2:11" x14ac:dyDescent="0.25">
      <c r="B4" t="s">
        <v>165</v>
      </c>
      <c r="E4" t="s">
        <v>165</v>
      </c>
      <c r="H4" t="s">
        <v>165</v>
      </c>
      <c r="K4" s="145" t="s">
        <v>166</v>
      </c>
    </row>
    <row r="5" spans="2:11" x14ac:dyDescent="0.25">
      <c r="B5" t="s">
        <v>167</v>
      </c>
      <c r="E5" t="s">
        <v>167</v>
      </c>
      <c r="H5" t="s">
        <v>167</v>
      </c>
      <c r="K5" s="145" t="s">
        <v>168</v>
      </c>
    </row>
    <row r="6" spans="1:8" x14ac:dyDescent="0.25">
      <c r="A6">
        <v>1</v>
      </c>
      <c r="B6" t="s">
        <v>169</v>
      </c>
      <c r="D6">
        <v>301</v>
      </c>
      <c r="E6" t="s">
        <v>169</v>
      </c>
      <c r="G6">
        <v>1</v>
      </c>
      <c r="H6" t="s">
        <v>169</v>
      </c>
    </row>
    <row r="7" spans="1:8" x14ac:dyDescent="0.25">
      <c r="A7">
        <v>2</v>
      </c>
      <c r="B7" t="s">
        <v>170</v>
      </c>
      <c r="D7">
        <v>302</v>
      </c>
      <c r="E7" t="s">
        <v>170</v>
      </c>
      <c r="G7">
        <v>2</v>
      </c>
      <c r="H7" t="s">
        <v>170</v>
      </c>
    </row>
    <row r="8" spans="1:8" x14ac:dyDescent="0.25">
      <c r="A8">
        <v>3</v>
      </c>
      <c r="B8" t="s">
        <v>171</v>
      </c>
      <c r="D8">
        <v>303</v>
      </c>
      <c r="E8" t="s">
        <v>171</v>
      </c>
      <c r="G8">
        <v>3</v>
      </c>
      <c r="H8" t="s">
        <v>171</v>
      </c>
    </row>
    <row r="9" spans="1:8" x14ac:dyDescent="0.25">
      <c r="A9">
        <v>4</v>
      </c>
      <c r="B9" t="s">
        <v>172</v>
      </c>
      <c r="D9">
        <v>304</v>
      </c>
      <c r="E9" t="s">
        <v>172</v>
      </c>
      <c r="G9">
        <v>4</v>
      </c>
      <c r="H9" t="s">
        <v>172</v>
      </c>
    </row>
    <row r="10" spans="1:8" x14ac:dyDescent="0.25">
      <c r="A10">
        <v>5</v>
      </c>
      <c r="B10" t="s">
        <v>173</v>
      </c>
      <c r="D10">
        <v>305</v>
      </c>
      <c r="E10" t="s">
        <v>173</v>
      </c>
      <c r="G10">
        <v>5</v>
      </c>
      <c r="H10" t="s">
        <v>173</v>
      </c>
    </row>
    <row r="11" spans="1:8" x14ac:dyDescent="0.25">
      <c r="A11">
        <v>6</v>
      </c>
      <c r="B11" t="s">
        <v>144</v>
      </c>
      <c r="D11">
        <v>306</v>
      </c>
      <c r="E11" t="s">
        <v>174</v>
      </c>
      <c r="G11">
        <v>6</v>
      </c>
      <c r="H11" t="s">
        <v>144</v>
      </c>
    </row>
    <row r="12" spans="1:8" x14ac:dyDescent="0.25">
      <c r="A12">
        <v>7</v>
      </c>
      <c r="B12" t="s">
        <v>175</v>
      </c>
      <c r="D12">
        <v>307</v>
      </c>
      <c r="E12" t="s">
        <v>175</v>
      </c>
      <c r="G12">
        <v>7</v>
      </c>
      <c r="H12" t="s">
        <v>175</v>
      </c>
    </row>
    <row r="13" spans="1:8" x14ac:dyDescent="0.25">
      <c r="A13">
        <v>9</v>
      </c>
      <c r="B13" t="s">
        <v>176</v>
      </c>
      <c r="G13">
        <v>10</v>
      </c>
      <c r="H13" t="s">
        <v>177</v>
      </c>
    </row>
    <row r="14" spans="1:8" x14ac:dyDescent="0.25">
      <c r="A14">
        <v>10</v>
      </c>
      <c r="B14" t="s">
        <v>177</v>
      </c>
      <c r="D14">
        <v>310</v>
      </c>
      <c r="E14" t="s">
        <v>178</v>
      </c>
      <c r="G14">
        <v>11</v>
      </c>
      <c r="H14" t="s">
        <v>179</v>
      </c>
    </row>
    <row r="15" spans="1:8" x14ac:dyDescent="0.25">
      <c r="A15">
        <v>11</v>
      </c>
      <c r="B15" t="s">
        <v>179</v>
      </c>
      <c r="D15">
        <v>311</v>
      </c>
      <c r="E15" t="s">
        <v>179</v>
      </c>
      <c r="G15">
        <v>12</v>
      </c>
      <c r="H15" t="s">
        <v>180</v>
      </c>
    </row>
    <row r="16" spans="1:8" x14ac:dyDescent="0.25">
      <c r="A16">
        <v>12</v>
      </c>
      <c r="B16" t="s">
        <v>180</v>
      </c>
      <c r="D16">
        <v>312</v>
      </c>
      <c r="E16" t="s">
        <v>181</v>
      </c>
      <c r="G16">
        <v>13</v>
      </c>
      <c r="H16" t="s">
        <v>182</v>
      </c>
    </row>
    <row r="17" spans="1:8" x14ac:dyDescent="0.25">
      <c r="A17">
        <v>13</v>
      </c>
      <c r="B17" t="s">
        <v>182</v>
      </c>
      <c r="D17">
        <v>313</v>
      </c>
      <c r="E17" t="s">
        <v>182</v>
      </c>
      <c r="G17">
        <v>14</v>
      </c>
      <c r="H17" t="s">
        <v>183</v>
      </c>
    </row>
    <row r="18" spans="1:8" x14ac:dyDescent="0.25">
      <c r="A18">
        <v>14</v>
      </c>
      <c r="B18" t="s">
        <v>183</v>
      </c>
      <c r="D18">
        <v>314</v>
      </c>
      <c r="E18" t="s">
        <v>183</v>
      </c>
      <c r="G18">
        <v>15</v>
      </c>
      <c r="H18" t="s">
        <v>184</v>
      </c>
    </row>
    <row r="19" spans="1:8" x14ac:dyDescent="0.25">
      <c r="A19">
        <v>15</v>
      </c>
      <c r="B19" t="s">
        <v>184</v>
      </c>
      <c r="D19">
        <v>315</v>
      </c>
      <c r="E19" t="s">
        <v>184</v>
      </c>
      <c r="G19">
        <v>16</v>
      </c>
      <c r="H19" t="s">
        <v>185</v>
      </c>
    </row>
    <row r="20" spans="1:8" x14ac:dyDescent="0.25">
      <c r="A20">
        <v>16</v>
      </c>
      <c r="B20" t="s">
        <v>185</v>
      </c>
      <c r="D20">
        <v>316</v>
      </c>
      <c r="E20" t="s">
        <v>186</v>
      </c>
      <c r="G20">
        <v>17</v>
      </c>
      <c r="H20" t="s">
        <v>187</v>
      </c>
    </row>
    <row r="21" spans="1:8" x14ac:dyDescent="0.25">
      <c r="A21">
        <v>17</v>
      </c>
      <c r="B21" t="s">
        <v>187</v>
      </c>
      <c r="D21">
        <v>317</v>
      </c>
      <c r="E21" t="s">
        <v>188</v>
      </c>
      <c r="G21">
        <v>18</v>
      </c>
      <c r="H21" t="s">
        <v>189</v>
      </c>
    </row>
    <row r="22" spans="1:8" x14ac:dyDescent="0.25">
      <c r="A22">
        <v>18</v>
      </c>
      <c r="B22" t="s">
        <v>189</v>
      </c>
      <c r="G22">
        <v>19</v>
      </c>
      <c r="H22" t="s">
        <v>190</v>
      </c>
    </row>
    <row r="23" spans="1:8" x14ac:dyDescent="0.25">
      <c r="A23">
        <v>19</v>
      </c>
      <c r="B23" t="s">
        <v>190</v>
      </c>
      <c r="D23">
        <v>319</v>
      </c>
      <c r="E23" t="s">
        <v>190</v>
      </c>
      <c r="G23">
        <v>20</v>
      </c>
      <c r="H23" t="s">
        <v>191</v>
      </c>
    </row>
    <row r="24" spans="1:8" x14ac:dyDescent="0.25">
      <c r="A24">
        <v>20</v>
      </c>
      <c r="B24" t="s">
        <v>191</v>
      </c>
      <c r="G24">
        <v>22</v>
      </c>
      <c r="H24" t="s">
        <v>192</v>
      </c>
    </row>
    <row r="25" spans="1:8" x14ac:dyDescent="0.25">
      <c r="A25">
        <v>21</v>
      </c>
      <c r="B25" t="s">
        <v>193</v>
      </c>
      <c r="G25">
        <v>25</v>
      </c>
      <c r="H25" t="s">
        <v>194</v>
      </c>
    </row>
    <row r="26" spans="1:8" x14ac:dyDescent="0.25">
      <c r="A26">
        <v>22</v>
      </c>
      <c r="B26" t="s">
        <v>192</v>
      </c>
      <c r="D26">
        <v>322</v>
      </c>
      <c r="E26" t="s">
        <v>192</v>
      </c>
      <c r="G26">
        <v>26</v>
      </c>
      <c r="H26" t="s">
        <v>195</v>
      </c>
    </row>
    <row r="27" spans="1:8" x14ac:dyDescent="0.25">
      <c r="A27">
        <v>25</v>
      </c>
      <c r="B27" t="s">
        <v>194</v>
      </c>
      <c r="D27">
        <v>323</v>
      </c>
      <c r="E27" t="s">
        <v>194</v>
      </c>
      <c r="G27">
        <v>27</v>
      </c>
      <c r="H27" t="s">
        <v>148</v>
      </c>
    </row>
    <row r="28" spans="1:8" x14ac:dyDescent="0.25">
      <c r="A28">
        <v>26</v>
      </c>
      <c r="B28" t="s">
        <v>196</v>
      </c>
      <c r="G28">
        <v>30</v>
      </c>
      <c r="H28" t="s">
        <v>197</v>
      </c>
    </row>
    <row r="29" spans="1:8" x14ac:dyDescent="0.25">
      <c r="A29">
        <v>27</v>
      </c>
      <c r="B29" t="s">
        <v>148</v>
      </c>
      <c r="D29">
        <v>327</v>
      </c>
      <c r="E29" t="s">
        <v>148</v>
      </c>
      <c r="G29">
        <v>31</v>
      </c>
      <c r="H29" t="s">
        <v>140</v>
      </c>
    </row>
    <row r="30" spans="1:8" x14ac:dyDescent="0.25">
      <c r="A30">
        <v>28</v>
      </c>
      <c r="B30" t="s">
        <v>198</v>
      </c>
      <c r="G30">
        <v>32</v>
      </c>
      <c r="H30" t="s">
        <v>199</v>
      </c>
    </row>
    <row r="31" spans="1:8" x14ac:dyDescent="0.25">
      <c r="A31">
        <v>30</v>
      </c>
      <c r="B31" t="s">
        <v>197</v>
      </c>
      <c r="D31">
        <v>330</v>
      </c>
      <c r="E31" t="s">
        <v>197</v>
      </c>
      <c r="G31">
        <v>33</v>
      </c>
      <c r="H31" t="s">
        <v>200</v>
      </c>
    </row>
    <row r="32" spans="1:8" x14ac:dyDescent="0.25">
      <c r="A32">
        <v>31</v>
      </c>
      <c r="B32" t="s">
        <v>140</v>
      </c>
      <c r="D32">
        <v>331</v>
      </c>
      <c r="E32" t="s">
        <v>140</v>
      </c>
      <c r="G32">
        <v>34</v>
      </c>
      <c r="H32" t="s">
        <v>201</v>
      </c>
    </row>
    <row r="33" spans="1:8" x14ac:dyDescent="0.25">
      <c r="A33">
        <v>32</v>
      </c>
      <c r="B33" t="s">
        <v>199</v>
      </c>
      <c r="D33">
        <v>332</v>
      </c>
      <c r="E33" t="s">
        <v>199</v>
      </c>
      <c r="G33">
        <v>38</v>
      </c>
      <c r="H33" t="s">
        <v>202</v>
      </c>
    </row>
    <row r="34" spans="1:8" x14ac:dyDescent="0.25">
      <c r="A34">
        <v>33</v>
      </c>
      <c r="B34" t="s">
        <v>200</v>
      </c>
      <c r="D34">
        <v>333</v>
      </c>
      <c r="E34" t="s">
        <v>200</v>
      </c>
      <c r="G34">
        <v>42</v>
      </c>
      <c r="H34" t="s">
        <v>203</v>
      </c>
    </row>
    <row r="35" spans="1:8" x14ac:dyDescent="0.25">
      <c r="A35">
        <v>34</v>
      </c>
      <c r="B35" t="s">
        <v>201</v>
      </c>
      <c r="D35">
        <v>334</v>
      </c>
      <c r="E35" t="s">
        <v>201</v>
      </c>
      <c r="G35">
        <v>44</v>
      </c>
      <c r="H35" t="s">
        <v>204</v>
      </c>
    </row>
    <row r="36" spans="1:8" x14ac:dyDescent="0.25">
      <c r="A36">
        <v>42</v>
      </c>
      <c r="B36" t="s">
        <v>203</v>
      </c>
      <c r="D36">
        <v>341</v>
      </c>
      <c r="E36" t="s">
        <v>205</v>
      </c>
      <c r="G36">
        <v>71</v>
      </c>
      <c r="H36" t="s">
        <v>206</v>
      </c>
    </row>
    <row r="37" spans="1:5" x14ac:dyDescent="0.25">
      <c r="A37">
        <v>62</v>
      </c>
      <c r="B37" t="s">
        <v>207</v>
      </c>
      <c r="D37">
        <v>342</v>
      </c>
      <c r="E37" t="s">
        <v>203</v>
      </c>
    </row>
    <row r="38" spans="4:5" x14ac:dyDescent="0.25">
      <c r="D38">
        <v>580</v>
      </c>
      <c r="E38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zoomScale="100" zoomScaleNormal="100">
      <selection activeCell="L11" sqref="L11"/>
    </sheetView>
  </sheetViews>
  <sheetFormatPr defaultRowHeight="13.5" outlineLevelRow="0" outlineLevelCol="0" x14ac:dyDescent="0.1" customHeight="1"/>
  <cols>
    <col min="9" max="9" width="5.453125" customWidth="1"/>
    <col min="11" max="11" width="1.76953125" customWidth="1"/>
  </cols>
  <sheetData>
    <row r="1" ht="13.5" customHeight="1" spans="1:11" x14ac:dyDescent="0.25">
      <c r="A1" s="1"/>
      <c r="B1" s="1"/>
      <c r="C1" s="1"/>
      <c r="D1" s="2"/>
      <c r="E1" s="2"/>
      <c r="F1" s="2"/>
      <c r="G1" s="1"/>
      <c r="H1" s="1"/>
      <c r="I1" s="1"/>
      <c r="J1" s="1"/>
      <c r="K1" s="1"/>
    </row>
    <row r="2" ht="13.5" customHeight="1" spans="1:11" x14ac:dyDescent="0.25">
      <c r="A2" s="1"/>
      <c r="B2" s="1"/>
      <c r="C2" s="1"/>
      <c r="D2" s="2"/>
      <c r="E2" s="2"/>
      <c r="F2" s="2"/>
      <c r="G2" s="1"/>
      <c r="H2" s="1"/>
      <c r="I2" s="1"/>
      <c r="J2" s="1"/>
      <c r="K2" s="1"/>
    </row>
    <row r="3" ht="13.5" customHeight="1" spans="1:11" x14ac:dyDescent="0.25">
      <c r="A3" s="1"/>
      <c r="B3" s="1"/>
      <c r="C3" s="1"/>
      <c r="D3" s="2"/>
      <c r="E3" s="2"/>
      <c r="F3" s="2"/>
      <c r="G3" s="1"/>
      <c r="H3" s="1"/>
      <c r="I3" s="1"/>
      <c r="J3" s="1"/>
      <c r="K3" s="1"/>
    </row>
    <row r="4" ht="13.5" customHeight="1" spans="1:11" x14ac:dyDescent="0.25">
      <c r="A4" s="1"/>
      <c r="B4" s="1"/>
      <c r="C4" s="3" t="s">
        <v>0</v>
      </c>
      <c r="D4" s="3"/>
      <c r="E4" s="3"/>
      <c r="F4" s="3"/>
      <c r="G4" s="3"/>
      <c r="H4" s="3"/>
      <c r="I4" s="1"/>
      <c r="J4" s="1"/>
      <c r="K4" s="1"/>
    </row>
    <row r="5" ht="13.5" customHeight="1" spans="1:11" x14ac:dyDescent="0.25">
      <c r="A5" s="1"/>
      <c r="B5" s="1"/>
      <c r="C5" s="3"/>
      <c r="D5" s="3"/>
      <c r="E5" s="3"/>
      <c r="F5" s="3"/>
      <c r="G5" s="3"/>
      <c r="H5" s="3"/>
      <c r="I5" s="1"/>
      <c r="J5" s="1"/>
      <c r="K5" s="1"/>
    </row>
    <row r="6" ht="13.5" customHeight="1" spans="1:11" x14ac:dyDescent="0.25">
      <c r="A6" s="1"/>
      <c r="B6" s="1"/>
      <c r="C6" s="3"/>
      <c r="D6" s="3"/>
      <c r="E6" s="3"/>
      <c r="F6" s="3"/>
      <c r="G6" s="3"/>
      <c r="H6" s="3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24" customHeight="1" spans="1:11" x14ac:dyDescent="0.25">
      <c r="A12" s="1"/>
      <c r="B12" s="4" t="s">
        <v>1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24" customHeight="1" spans="1:11" x14ac:dyDescent="0.25">
      <c r="A16" s="1"/>
      <c r="B16" s="4" t="s">
        <v>2</v>
      </c>
      <c r="C16" s="1"/>
      <c r="D16" s="1"/>
      <c r="E16" s="1"/>
      <c r="F16" s="1"/>
      <c r="G16" s="1"/>
      <c r="H16" s="5"/>
      <c r="I16" s="5" t="s">
        <v>3</v>
      </c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4" customHeight="1" spans="1:11" x14ac:dyDescent="0.25">
      <c r="A19" s="1"/>
      <c r="B19" s="4" t="s">
        <v>4</v>
      </c>
      <c r="C19" s="1"/>
      <c r="D19" s="1"/>
      <c r="E19" s="1"/>
      <c r="F19" s="1"/>
      <c r="G19" s="1"/>
      <c r="H19" s="5"/>
      <c r="I19" s="5" t="s">
        <v>3</v>
      </c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6" t="s">
        <v>5</v>
      </c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"/>
    </row>
    <row r="28" spans="1:11" x14ac:dyDescent="0.25">
      <c r="A28" s="1"/>
      <c r="B28" s="1"/>
      <c r="C28" s="1"/>
      <c r="D28" s="1"/>
      <c r="E28" s="8" t="s">
        <v>6</v>
      </c>
      <c r="F28" s="8"/>
      <c r="G28" s="8"/>
      <c r="H28" s="8"/>
      <c r="I28" s="1"/>
      <c r="J28" s="7"/>
      <c r="K28" s="1"/>
    </row>
    <row r="29" spans="1:11" x14ac:dyDescent="0.25">
      <c r="A29" s="1"/>
      <c r="B29" s="1"/>
      <c r="C29" s="1"/>
      <c r="D29" s="1"/>
      <c r="E29" s="8"/>
      <c r="F29" s="8"/>
      <c r="G29" s="8"/>
      <c r="H29" s="8"/>
      <c r="I29" s="1"/>
      <c r="J29" s="9"/>
      <c r="K29" s="1"/>
    </row>
    <row r="30" spans="1:11" x14ac:dyDescent="0.25">
      <c r="A30" s="1"/>
      <c r="B30" s="1"/>
      <c r="C30" s="1"/>
      <c r="D30" s="1"/>
      <c r="E30" s="10"/>
      <c r="F30" s="10"/>
      <c r="G30" s="10"/>
      <c r="H30" s="10"/>
      <c r="I30" s="1"/>
      <c r="J30" s="1"/>
      <c r="K30" s="1"/>
    </row>
  </sheetData>
  <mergeCells count="2">
    <mergeCell ref="C4:H6"/>
    <mergeCell ref="E28:H29"/>
  </mergeCells>
  <printOptions horizontalCentered="1"/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 zoomScale="100" zoomScaleNormal="100">
      <selection activeCell="W12" sqref="W12"/>
    </sheetView>
  </sheetViews>
  <sheetFormatPr defaultRowHeight="13.5" outlineLevelRow="0" outlineLevelCol="0" x14ac:dyDescent="0.1" customHeight="1"/>
  <cols>
    <col min="1" max="1" width="1.90625" customWidth="1"/>
    <col min="2" max="2" width="11.1796875" customWidth="1"/>
    <col min="3" max="3" width="5.04296875" customWidth="1"/>
    <col min="4" max="5" width="10.6328125" customWidth="1"/>
    <col min="6" max="13" width="5.7265625" customWidth="1"/>
    <col min="14" max="19" width="4.36328125" customWidth="1"/>
    <col min="20" max="20" width="9.1328125" customWidth="1"/>
    <col min="21" max="21" width="1.3632812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19" t="s">
        <v>122</v>
      </c>
      <c r="U1" s="1"/>
    </row>
    <row r="2" ht="15" customHeight="1" spans="1:21" x14ac:dyDescent="0.25">
      <c r="A2" s="1"/>
      <c r="B2" s="1"/>
      <c r="C2" s="1"/>
      <c r="D2" s="120" t="s">
        <v>123</v>
      </c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"/>
      <c r="P2" s="1"/>
      <c r="Q2" s="1"/>
      <c r="R2" s="1"/>
      <c r="S2" s="1"/>
      <c r="T2" s="6" t="s">
        <v>124</v>
      </c>
      <c r="U2" s="1"/>
    </row>
    <row r="3" ht="15" customHeight="1" spans="1:21" x14ac:dyDescent="0.25">
      <c r="A3" s="1"/>
      <c r="B3" s="1"/>
      <c r="C3" s="1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"/>
      <c r="P3" s="1"/>
      <c r="Q3" s="1"/>
      <c r="R3" s="1"/>
      <c r="S3" s="1"/>
      <c r="T3" s="121"/>
      <c r="U3" s="1"/>
    </row>
    <row r="4" ht="15" customHeight="1" spans="1:21" x14ac:dyDescent="0.25">
      <c r="A4" s="1"/>
      <c r="B4" s="12" t="s">
        <v>125</v>
      </c>
      <c r="C4" s="12"/>
      <c r="D4" s="1"/>
      <c r="E4" s="12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7"/>
      <c r="U4" s="1"/>
    </row>
    <row r="5" ht="15" customHeight="1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/>
      <c r="U5" s="1"/>
    </row>
    <row r="6" ht="15" customHeight="1" spans="1:21" x14ac:dyDescent="0.25">
      <c r="A6" s="1"/>
      <c r="B6" s="123" t="s">
        <v>126</v>
      </c>
      <c r="C6" s="12"/>
      <c r="D6" s="12"/>
      <c r="E6" s="1"/>
      <c r="F6" s="1"/>
      <c r="G6" s="1"/>
      <c r="H6" s="1"/>
      <c r="I6" s="1"/>
      <c r="J6" s="1"/>
      <c r="K6" s="124"/>
      <c r="L6" s="124"/>
      <c r="M6" s="124"/>
      <c r="N6" s="1"/>
      <c r="O6" s="1"/>
      <c r="P6" s="1"/>
      <c r="Q6" s="1"/>
      <c r="R6" s="1"/>
      <c r="S6" s="1"/>
      <c r="T6" s="9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20.25" customHeight="1" spans="1:21" x14ac:dyDescent="0.25">
      <c r="A8" s="1"/>
      <c r="B8" s="21"/>
      <c r="C8" s="22"/>
      <c r="D8" s="17" t="s">
        <v>93</v>
      </c>
      <c r="E8" s="19"/>
      <c r="F8" s="21" t="s">
        <v>127</v>
      </c>
      <c r="G8" s="109"/>
      <c r="H8" s="109"/>
      <c r="I8" s="109"/>
      <c r="J8" s="109"/>
      <c r="K8" s="109"/>
      <c r="L8" s="109"/>
      <c r="M8" s="109"/>
      <c r="N8" s="21" t="s">
        <v>128</v>
      </c>
      <c r="O8" s="109"/>
      <c r="P8" s="109"/>
      <c r="Q8" s="109"/>
      <c r="R8" s="109"/>
      <c r="S8" s="22"/>
      <c r="T8" s="13" t="s">
        <v>129</v>
      </c>
      <c r="U8" s="1"/>
    </row>
    <row r="9" ht="20.25" customHeight="1" spans="1:21" x14ac:dyDescent="0.25">
      <c r="A9" s="1"/>
      <c r="B9" s="125"/>
      <c r="C9" s="126"/>
      <c r="D9" s="20" t="s">
        <v>32</v>
      </c>
      <c r="E9" s="105" t="s">
        <v>22</v>
      </c>
      <c r="F9" s="127" t="s">
        <v>130</v>
      </c>
      <c r="G9" s="109" t="s">
        <v>32</v>
      </c>
      <c r="H9" s="127" t="s">
        <v>130</v>
      </c>
      <c r="I9" s="109" t="s">
        <v>22</v>
      </c>
      <c r="J9" s="17" t="s">
        <v>131</v>
      </c>
      <c r="K9" s="71" t="s">
        <v>32</v>
      </c>
      <c r="L9" s="101" t="s">
        <v>131</v>
      </c>
      <c r="M9" s="102" t="s">
        <v>22</v>
      </c>
      <c r="N9" s="109" t="s">
        <v>132</v>
      </c>
      <c r="O9" s="109"/>
      <c r="P9" s="22"/>
      <c r="Q9" s="21" t="s">
        <v>133</v>
      </c>
      <c r="R9" s="109"/>
      <c r="S9" s="22"/>
      <c r="T9" s="14"/>
      <c r="U9" s="1"/>
    </row>
    <row r="10" ht="33" customHeight="1" spans="1:21" x14ac:dyDescent="0.25">
      <c r="A10" s="1"/>
      <c r="B10" s="128" t="s">
        <v>28</v>
      </c>
      <c r="C10" s="129" t="s">
        <v>134</v>
      </c>
      <c r="D10" s="130"/>
      <c r="E10" s="131"/>
      <c r="F10" s="132"/>
      <c r="G10" s="133"/>
      <c r="H10" s="132"/>
      <c r="I10" s="133"/>
      <c r="J10" s="132"/>
      <c r="K10" s="133"/>
      <c r="L10" s="132"/>
      <c r="M10" s="133"/>
      <c r="N10" s="134">
        <f>+F10+J10+D10</f>
        <v>0</v>
      </c>
      <c r="O10" s="134"/>
      <c r="P10" s="133"/>
      <c r="Q10" s="132">
        <f>+H10+L10+E10</f>
        <v>0</v>
      </c>
      <c r="R10" s="134"/>
      <c r="S10" s="133"/>
      <c r="T10" s="20"/>
      <c r="U10" s="1"/>
    </row>
    <row r="11" ht="33" customHeight="1" spans="1:21" x14ac:dyDescent="0.25">
      <c r="A11" s="1"/>
      <c r="B11" s="128" t="s">
        <v>78</v>
      </c>
      <c r="C11" s="129" t="s">
        <v>135</v>
      </c>
      <c r="D11" s="130"/>
      <c r="E11" s="131"/>
      <c r="F11" s="132"/>
      <c r="G11" s="133"/>
      <c r="H11" s="132"/>
      <c r="I11" s="133"/>
      <c r="J11" s="132"/>
      <c r="K11" s="133"/>
      <c r="L11" s="132"/>
      <c r="M11" s="133"/>
      <c r="N11" s="134">
        <f t="shared" ref="N11:N18" si="0">+F11+J11+D11</f>
        <v>0</v>
      </c>
      <c r="O11" s="134"/>
      <c r="P11" s="133"/>
      <c r="Q11" s="132">
        <f t="shared" ref="Q11:Q18" si="1">+H11+L11+E11</f>
        <v>0</v>
      </c>
      <c r="R11" s="134"/>
      <c r="S11" s="133"/>
      <c r="T11" s="20"/>
      <c r="U11" s="1"/>
    </row>
    <row r="12" ht="33" customHeight="1" spans="1:21" x14ac:dyDescent="0.25">
      <c r="A12" s="1"/>
      <c r="B12" s="128" t="s">
        <v>136</v>
      </c>
      <c r="C12" s="129" t="s">
        <v>137</v>
      </c>
      <c r="D12" s="130"/>
      <c r="E12" s="131"/>
      <c r="F12" s="132"/>
      <c r="G12" s="133"/>
      <c r="H12" s="132"/>
      <c r="I12" s="133"/>
      <c r="J12" s="132"/>
      <c r="K12" s="133"/>
      <c r="L12" s="132"/>
      <c r="M12" s="133"/>
      <c r="N12" s="134">
        <f t="shared" si="0"/>
        <v>0</v>
      </c>
      <c r="O12" s="134"/>
      <c r="P12" s="133"/>
      <c r="Q12" s="132">
        <f t="shared" si="1"/>
        <v>0</v>
      </c>
      <c r="R12" s="134"/>
      <c r="S12" s="133"/>
      <c r="T12" s="20"/>
      <c r="U12" s="1"/>
    </row>
    <row r="13" ht="33" customHeight="1" spans="1:21" x14ac:dyDescent="0.25">
      <c r="A13" s="1"/>
      <c r="B13" s="128" t="s">
        <v>138</v>
      </c>
      <c r="C13" s="129" t="s">
        <v>139</v>
      </c>
      <c r="D13" s="130"/>
      <c r="E13" s="131"/>
      <c r="F13" s="132"/>
      <c r="G13" s="133"/>
      <c r="H13" s="132"/>
      <c r="I13" s="133"/>
      <c r="J13" s="132"/>
      <c r="K13" s="133"/>
      <c r="L13" s="132"/>
      <c r="M13" s="133"/>
      <c r="N13" s="134">
        <f t="shared" si="0"/>
        <v>0</v>
      </c>
      <c r="O13" s="134"/>
      <c r="P13" s="133"/>
      <c r="Q13" s="132">
        <f t="shared" si="1"/>
        <v>0</v>
      </c>
      <c r="R13" s="134"/>
      <c r="S13" s="133"/>
      <c r="T13" s="20"/>
      <c r="U13" s="1"/>
    </row>
    <row r="14" ht="33" customHeight="1" spans="1:21" x14ac:dyDescent="0.25">
      <c r="A14" s="1"/>
      <c r="B14" s="128" t="s">
        <v>140</v>
      </c>
      <c r="C14" s="129" t="s">
        <v>141</v>
      </c>
      <c r="D14" s="130"/>
      <c r="E14" s="131"/>
      <c r="F14" s="132"/>
      <c r="G14" s="133"/>
      <c r="H14" s="132"/>
      <c r="I14" s="133"/>
      <c r="J14" s="132"/>
      <c r="K14" s="133"/>
      <c r="L14" s="132"/>
      <c r="M14" s="133"/>
      <c r="N14" s="134">
        <f t="shared" si="0"/>
        <v>0</v>
      </c>
      <c r="O14" s="134"/>
      <c r="P14" s="133"/>
      <c r="Q14" s="132">
        <f t="shared" si="1"/>
        <v>0</v>
      </c>
      <c r="R14" s="134"/>
      <c r="S14" s="133"/>
      <c r="T14" s="20"/>
      <c r="U14" s="1"/>
    </row>
    <row r="15" ht="33" customHeight="1" spans="1:21" x14ac:dyDescent="0.25">
      <c r="A15" s="1"/>
      <c r="B15" s="128" t="s">
        <v>142</v>
      </c>
      <c r="C15" s="129" t="s">
        <v>143</v>
      </c>
      <c r="D15" s="130"/>
      <c r="E15" s="131"/>
      <c r="F15" s="132"/>
      <c r="G15" s="133"/>
      <c r="H15" s="132"/>
      <c r="I15" s="133"/>
      <c r="J15" s="132"/>
      <c r="K15" s="133"/>
      <c r="L15" s="132"/>
      <c r="M15" s="133"/>
      <c r="N15" s="134">
        <f t="shared" si="0"/>
        <v>0</v>
      </c>
      <c r="O15" s="134"/>
      <c r="P15" s="133"/>
      <c r="Q15" s="132">
        <f t="shared" si="1"/>
        <v>0</v>
      </c>
      <c r="R15" s="134"/>
      <c r="S15" s="133"/>
      <c r="T15" s="20"/>
      <c r="U15" s="1"/>
    </row>
    <row r="16" ht="33" customHeight="1" spans="1:21" x14ac:dyDescent="0.25">
      <c r="A16" s="1"/>
      <c r="B16" s="128" t="s">
        <v>144</v>
      </c>
      <c r="C16" s="129" t="s">
        <v>145</v>
      </c>
      <c r="D16" s="135"/>
      <c r="E16" s="136"/>
      <c r="F16" s="132"/>
      <c r="G16" s="133"/>
      <c r="H16" s="132"/>
      <c r="I16" s="133"/>
      <c r="J16" s="132"/>
      <c r="K16" s="133"/>
      <c r="L16" s="132"/>
      <c r="M16" s="133"/>
      <c r="N16" s="134">
        <f t="shared" si="0"/>
        <v>0</v>
      </c>
      <c r="O16" s="134"/>
      <c r="P16" s="133"/>
      <c r="Q16" s="132">
        <f t="shared" si="1"/>
        <v>0</v>
      </c>
      <c r="R16" s="134"/>
      <c r="S16" s="133"/>
      <c r="T16" s="20"/>
      <c r="U16" s="1"/>
    </row>
    <row r="17" ht="33" customHeight="1" spans="1:21" x14ac:dyDescent="0.25">
      <c r="A17" s="1"/>
      <c r="B17" s="128" t="s">
        <v>146</v>
      </c>
      <c r="C17" s="129" t="s">
        <v>147</v>
      </c>
      <c r="D17" s="130"/>
      <c r="E17" s="131"/>
      <c r="F17" s="132"/>
      <c r="G17" s="133"/>
      <c r="H17" s="132"/>
      <c r="I17" s="133"/>
      <c r="J17" s="132"/>
      <c r="K17" s="133"/>
      <c r="L17" s="132"/>
      <c r="M17" s="133"/>
      <c r="N17" s="134">
        <f t="shared" si="0"/>
        <v>0</v>
      </c>
      <c r="O17" s="134"/>
      <c r="P17" s="133"/>
      <c r="Q17" s="132">
        <f>+H17+L17+E17</f>
        <v>0</v>
      </c>
      <c r="R17" s="134"/>
      <c r="S17" s="133"/>
      <c r="T17" s="20"/>
      <c r="U17" s="1"/>
    </row>
    <row r="18" ht="33" customHeight="1" spans="1:21" x14ac:dyDescent="0.25">
      <c r="A18" s="1"/>
      <c r="B18" s="128" t="s">
        <v>148</v>
      </c>
      <c r="C18" s="129" t="s">
        <v>149</v>
      </c>
      <c r="D18" s="130"/>
      <c r="E18" s="131"/>
      <c r="F18" s="132"/>
      <c r="G18" s="133"/>
      <c r="H18" s="132"/>
      <c r="I18" s="133"/>
      <c r="J18" s="132"/>
      <c r="K18" s="133"/>
      <c r="L18" s="132"/>
      <c r="M18" s="133"/>
      <c r="N18" s="134">
        <f t="shared" si="0"/>
        <v>0</v>
      </c>
      <c r="O18" s="134"/>
      <c r="P18" s="133"/>
      <c r="Q18" s="132">
        <f t="shared" si="1"/>
        <v>0</v>
      </c>
      <c r="R18" s="134"/>
      <c r="S18" s="133"/>
      <c r="T18" s="20"/>
      <c r="U18" s="1"/>
    </row>
    <row r="19" ht="33" customHeight="1" spans="1:21" x14ac:dyDescent="0.25">
      <c r="A19" s="1"/>
      <c r="B19" s="17" t="s">
        <v>150</v>
      </c>
      <c r="C19" s="19"/>
      <c r="D19" s="135">
        <f>+SUM(D10:D18)</f>
        <v>0</v>
      </c>
      <c r="E19" s="136">
        <f>+SUM(E10:E18)</f>
        <v>0</v>
      </c>
      <c r="F19" s="132">
        <f>+SUM(F10:G18)</f>
        <v>0</v>
      </c>
      <c r="G19" s="133"/>
      <c r="H19" s="132">
        <f>+SUM(H10:I18)</f>
        <v>0</v>
      </c>
      <c r="I19" s="133"/>
      <c r="J19" s="132">
        <f>+SUM(J10:K18)</f>
        <v>0</v>
      </c>
      <c r="K19" s="133"/>
      <c r="L19" s="132">
        <f>+SUM(L10:M18)</f>
        <v>0</v>
      </c>
      <c r="M19" s="133"/>
      <c r="N19" s="132">
        <f>+F19+J19+D19</f>
        <v>0</v>
      </c>
      <c r="O19" s="134"/>
      <c r="P19" s="133"/>
      <c r="Q19" s="132">
        <f>+H19+L19+E19</f>
        <v>0</v>
      </c>
      <c r="R19" s="134"/>
      <c r="S19" s="133"/>
      <c r="T19" s="6" t="s">
        <v>151</v>
      </c>
      <c r="U19" s="1"/>
    </row>
    <row r="20" spans="1:21" x14ac:dyDescent="0.25">
      <c r="A20" s="1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"/>
    </row>
    <row r="21" spans="1:21" x14ac:dyDescent="0.25">
      <c r="A21" s="1"/>
      <c r="B21" s="1" t="s">
        <v>152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38" t="s">
        <v>153</v>
      </c>
      <c r="P21" s="138"/>
      <c r="Q21" s="138"/>
      <c r="R21" s="138"/>
      <c r="S21" s="138"/>
      <c r="T21" s="139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62"/>
      <c r="P22" s="107"/>
      <c r="Q22" s="107"/>
      <c r="R22" s="17" t="s">
        <v>9</v>
      </c>
      <c r="S22" s="19"/>
      <c r="T22" s="19" t="s">
        <v>154</v>
      </c>
      <c r="U22" s="1"/>
    </row>
    <row r="23" spans="1:21" x14ac:dyDescent="0.25">
      <c r="A23" s="1"/>
      <c r="B23" s="1" t="s">
        <v>155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40"/>
      <c r="S23" s="141"/>
      <c r="T23" s="142"/>
      <c r="U23" s="1"/>
    </row>
    <row r="24" spans="1:21" x14ac:dyDescent="0.25">
      <c r="A24" s="1"/>
      <c r="B24" s="1" t="s">
        <v>156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40"/>
      <c r="S24" s="141"/>
      <c r="T24" s="141"/>
      <c r="U24" s="1"/>
    </row>
    <row r="25" spans="1:21" x14ac:dyDescent="0.25">
      <c r="A25" s="1"/>
      <c r="B25" s="1" t="s">
        <v>157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40"/>
      <c r="S25" s="141"/>
      <c r="T25" s="14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43"/>
      <c r="S26" s="144"/>
      <c r="T26" s="144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5.25" customHeight="1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</sheetData>
  <mergeCells count="72">
    <mergeCell ref="D2:N3"/>
    <mergeCell ref="K6:M6"/>
    <mergeCell ref="B8:C9"/>
    <mergeCell ref="D8:E8"/>
    <mergeCell ref="F8:M8"/>
    <mergeCell ref="N8:S8"/>
    <mergeCell ref="N9:P9"/>
    <mergeCell ref="Q9:S9"/>
    <mergeCell ref="T8:T9"/>
    <mergeCell ref="F10:G10"/>
    <mergeCell ref="H10:I10"/>
    <mergeCell ref="J10:K10"/>
    <mergeCell ref="L10:M10"/>
    <mergeCell ref="N10:P10"/>
    <mergeCell ref="Q10:S10"/>
    <mergeCell ref="F11:G11"/>
    <mergeCell ref="H11:I11"/>
    <mergeCell ref="J11:K11"/>
    <mergeCell ref="L11:M11"/>
    <mergeCell ref="N11:P11"/>
    <mergeCell ref="Q11:S11"/>
    <mergeCell ref="F12:G12"/>
    <mergeCell ref="H12:I12"/>
    <mergeCell ref="J12:K12"/>
    <mergeCell ref="L12:M12"/>
    <mergeCell ref="N12:P12"/>
    <mergeCell ref="Q12:S12"/>
    <mergeCell ref="F13:G13"/>
    <mergeCell ref="H13:I13"/>
    <mergeCell ref="J13:K13"/>
    <mergeCell ref="L13:M13"/>
    <mergeCell ref="N13:P13"/>
    <mergeCell ref="Q13:S13"/>
    <mergeCell ref="F14:G14"/>
    <mergeCell ref="H14:I14"/>
    <mergeCell ref="J14:K14"/>
    <mergeCell ref="L14:M14"/>
    <mergeCell ref="N14:P14"/>
    <mergeCell ref="Q14:S14"/>
    <mergeCell ref="F15:G15"/>
    <mergeCell ref="H15:I15"/>
    <mergeCell ref="J15:K15"/>
    <mergeCell ref="L15:M15"/>
    <mergeCell ref="N15:P15"/>
    <mergeCell ref="Q15:S15"/>
    <mergeCell ref="F16:G16"/>
    <mergeCell ref="H16:I16"/>
    <mergeCell ref="J16:K16"/>
    <mergeCell ref="L16:M16"/>
    <mergeCell ref="N16:P16"/>
    <mergeCell ref="Q16:S16"/>
    <mergeCell ref="F17:G17"/>
    <mergeCell ref="H17:I17"/>
    <mergeCell ref="J17:K17"/>
    <mergeCell ref="L17:M17"/>
    <mergeCell ref="N17:P17"/>
    <mergeCell ref="Q17:S17"/>
    <mergeCell ref="F18:G18"/>
    <mergeCell ref="H18:I18"/>
    <mergeCell ref="J18:K18"/>
    <mergeCell ref="L18:M18"/>
    <mergeCell ref="N18:P18"/>
    <mergeCell ref="Q18:S18"/>
    <mergeCell ref="B19:C19"/>
    <mergeCell ref="F19:G19"/>
    <mergeCell ref="H19:I19"/>
    <mergeCell ref="J19:K19"/>
    <mergeCell ref="L19:M19"/>
    <mergeCell ref="N19:P19"/>
    <mergeCell ref="Q19:S19"/>
    <mergeCell ref="O21:T21"/>
    <mergeCell ref="R22:S22"/>
  </mergeCells>
  <printOptions horizontalCentered="1"/>
  <pageMargins left="0.1968503937007874" right="0.1968503937007874" top="0.3937007874015748" bottom="0" header="0.11811023622047245" footer="0"/>
  <pageSetup paperSize="9" orientation="portrait" horizontalDpi="4294967295" verticalDpi="4294967295" scale="83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1"/>
  <sheetViews>
    <sheetView workbookViewId="0" zoomScale="60" zoomScaleNormal="75" view="pageBreakPreview">
      <selection activeCell="J57" sqref="J57"/>
    </sheetView>
  </sheetViews>
  <sheetFormatPr defaultRowHeight="13.5" outlineLevelRow="0" outlineLevelCol="0" x14ac:dyDescent="0.1" defaultColWidth="8.99609375" customHeight="1"/>
  <cols>
    <col min="1" max="1" width="1.2265625" style="25" customWidth="1"/>
    <col min="2" max="2" width="7.90625" style="25" customWidth="1"/>
    <col min="3" max="3" width="13.36328125" style="25" customWidth="1"/>
    <col min="4" max="4" width="2.31640625" style="25" customWidth="1"/>
    <col min="5" max="5" width="8.04296875" style="25" customWidth="1"/>
    <col min="6" max="6" width="9.1328125" style="25" customWidth="1"/>
    <col min="7" max="7" width="15.40625" style="25" customWidth="1"/>
    <col min="8" max="8" width="1.36328125" style="25" customWidth="1"/>
    <col min="9" max="10" width="11.58984375" style="25" customWidth="1"/>
    <col min="11" max="11" width="10.2265625" style="25" customWidth="1"/>
    <col min="12" max="13" width="5.58984375" style="25" customWidth="1"/>
    <col min="14" max="14" width="10.2265625" style="25" customWidth="1"/>
    <col min="15" max="15" width="1.08984375" style="25" customWidth="1"/>
    <col min="16" max="16" width="4.90625" style="25" customWidth="1"/>
    <col min="17" max="17" width="0.953125" style="25" customWidth="1"/>
    <col min="18" max="16384" width="8.99609375" style="25" customWidth="1"/>
  </cols>
  <sheetData>
    <row r="1" ht="15" customHeight="1" spans="1:17" x14ac:dyDescent="0.25">
      <c r="A1" s="26"/>
      <c r="B1" s="26"/>
      <c r="C1" s="26"/>
      <c r="D1" s="26"/>
      <c r="E1" s="27" t="s">
        <v>7</v>
      </c>
      <c r="F1" s="27"/>
      <c r="G1" s="27"/>
      <c r="H1" s="27"/>
      <c r="I1" s="27"/>
      <c r="J1" s="27"/>
      <c r="K1" s="28" t="s">
        <v>8</v>
      </c>
      <c r="L1" s="28">
        <v>1</v>
      </c>
      <c r="M1" s="28"/>
      <c r="N1" s="28"/>
      <c r="O1" s="26"/>
      <c r="P1" s="26"/>
      <c r="Q1" s="26"/>
    </row>
    <row r="2" ht="15" customHeight="1" spans="1:17" x14ac:dyDescent="0.25">
      <c r="A2" s="26"/>
      <c r="B2" s="26"/>
      <c r="C2" s="26"/>
      <c r="D2" s="26"/>
      <c r="E2" s="27"/>
      <c r="F2" s="27"/>
      <c r="G2" s="27"/>
      <c r="H2" s="27"/>
      <c r="I2" s="27"/>
      <c r="J2" s="27"/>
      <c r="K2" s="26"/>
      <c r="L2" s="26"/>
      <c r="M2" s="26"/>
      <c r="N2" s="26"/>
      <c r="O2" s="26"/>
      <c r="P2" s="26"/>
      <c r="Q2" s="26"/>
    </row>
    <row r="3" ht="15" customHeight="1" spans="1:17" x14ac:dyDescent="0.25">
      <c r="A3" s="26"/>
      <c r="B3" s="26"/>
      <c r="C3" s="26"/>
      <c r="D3" s="26"/>
      <c r="E3" s="27"/>
      <c r="F3" s="27"/>
      <c r="G3" s="27"/>
      <c r="H3" s="27"/>
      <c r="I3" s="27"/>
      <c r="J3" s="27"/>
      <c r="K3" s="26"/>
      <c r="L3" s="26"/>
      <c r="M3" s="26"/>
      <c r="N3" s="26"/>
      <c r="O3" s="26"/>
      <c r="P3" s="26"/>
      <c r="Q3" s="26"/>
    </row>
    <row r="4" ht="15" customHeight="1" spans="1:17" x14ac:dyDescent="0.25">
      <c r="A4" s="26"/>
      <c r="B4" s="26"/>
      <c r="C4" s="26"/>
      <c r="D4" s="26"/>
      <c r="E4" s="26"/>
      <c r="F4" s="26"/>
      <c r="G4" s="26"/>
      <c r="H4" s="26"/>
      <c r="I4" s="29"/>
      <c r="J4" s="29"/>
      <c r="K4" s="30" t="s">
        <v>9</v>
      </c>
      <c r="L4" s="31" t="s">
        <v>9</v>
      </c>
      <c r="M4" s="32"/>
      <c r="N4" s="30" t="s">
        <v>26</v>
      </c>
      <c r="O4" s="29"/>
      <c r="P4" s="29"/>
      <c r="Q4" s="26"/>
    </row>
    <row r="5" ht="15" customHeight="1" spans="1:17" x14ac:dyDescent="0.25">
      <c r="A5" s="26"/>
      <c r="B5" s="26" t="s">
        <v>10</v>
      </c>
      <c r="C5" s="28" t="s">
        <v>27</v>
      </c>
      <c r="D5" s="26"/>
      <c r="E5" s="26"/>
      <c r="F5" s="26"/>
      <c r="G5" s="26"/>
      <c r="H5" s="26"/>
      <c r="I5" s="29"/>
      <c r="J5" s="29"/>
      <c r="K5" s="33" t="s">
        <v>12</v>
      </c>
      <c r="L5" s="34" t="s">
        <v>11</v>
      </c>
      <c r="M5" s="35"/>
      <c r="N5" s="33"/>
      <c r="O5" s="29"/>
      <c r="P5" s="29"/>
      <c r="Q5" s="26"/>
    </row>
    <row r="6" ht="15" customHeight="1" spans="1:17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36"/>
      <c r="L6" s="37"/>
      <c r="M6" s="38"/>
      <c r="N6" s="39"/>
      <c r="O6" s="26"/>
      <c r="P6" s="26"/>
      <c r="Q6" s="26"/>
    </row>
    <row r="7" ht="15" customHeight="1" spans="1:17" x14ac:dyDescent="0.25">
      <c r="A7" s="26"/>
      <c r="B7" s="26" t="s">
        <v>13</v>
      </c>
      <c r="C7" s="28" t="s">
        <v>28</v>
      </c>
      <c r="D7" s="26"/>
      <c r="E7" s="28" t="s">
        <v>14</v>
      </c>
      <c r="F7" s="40" t="s">
        <v>29</v>
      </c>
      <c r="G7" s="40"/>
      <c r="H7" s="26"/>
      <c r="I7" s="26"/>
      <c r="J7" s="26"/>
      <c r="K7" s="36"/>
      <c r="L7" s="36"/>
      <c r="M7" s="39"/>
      <c r="N7" s="39"/>
      <c r="O7" s="26"/>
      <c r="P7" s="26"/>
      <c r="Q7" s="26"/>
    </row>
    <row r="8" ht="15" customHeight="1" spans="1:17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36"/>
      <c r="L8" s="36"/>
      <c r="M8" s="39"/>
      <c r="N8" s="39"/>
      <c r="O8" s="26"/>
      <c r="P8" s="26"/>
      <c r="Q8" s="26"/>
    </row>
    <row r="9" ht="15" customHeight="1" spans="1:17" x14ac:dyDescent="0.25">
      <c r="A9" s="26"/>
      <c r="B9" s="26" t="s">
        <v>16</v>
      </c>
      <c r="C9" s="41" t="s">
        <v>30</v>
      </c>
      <c r="D9" s="26"/>
      <c r="E9" s="40" t="s">
        <v>31</v>
      </c>
      <c r="F9" s="28"/>
      <c r="G9" s="28"/>
      <c r="H9" s="26"/>
      <c r="I9" s="26"/>
      <c r="J9" s="26"/>
      <c r="K9" s="42"/>
      <c r="L9" s="42"/>
      <c r="M9" s="43"/>
      <c r="N9" s="43"/>
      <c r="O9" s="26"/>
      <c r="P9" s="26"/>
      <c r="Q9" s="26"/>
    </row>
    <row r="10" spans="1:17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ht="24" customHeight="1" spans="1:17" x14ac:dyDescent="0.25">
      <c r="A11" s="26"/>
      <c r="B11" s="44" t="s">
        <v>19</v>
      </c>
      <c r="C11" s="45"/>
      <c r="D11" s="45"/>
      <c r="E11" s="46"/>
      <c r="F11" s="47" t="s">
        <v>20</v>
      </c>
      <c r="G11" s="44" t="s">
        <v>21</v>
      </c>
      <c r="H11" s="46"/>
      <c r="I11" s="47" t="s">
        <v>32</v>
      </c>
      <c r="J11" s="44" t="s">
        <v>22</v>
      </c>
      <c r="K11" s="44" t="s">
        <v>33</v>
      </c>
      <c r="L11" s="46"/>
      <c r="M11" s="44" t="s">
        <v>34</v>
      </c>
      <c r="N11" s="46"/>
      <c r="O11" s="29"/>
      <c r="P11" s="48" t="s">
        <v>35</v>
      </c>
      <c r="Q11" s="26"/>
    </row>
    <row r="12" ht="30.75" customHeight="1" spans="1:17" x14ac:dyDescent="0.25">
      <c r="A12" s="26"/>
      <c r="B12" s="44" t="s">
        <v>36</v>
      </c>
      <c r="C12" s="45"/>
      <c r="D12" s="45"/>
      <c r="E12" s="46"/>
      <c r="F12" s="49">
        <v>75</v>
      </c>
      <c r="G12" s="44" t="s">
        <v>37</v>
      </c>
      <c r="H12" s="46"/>
      <c r="I12" s="49">
        <v>265</v>
      </c>
      <c r="J12" s="50">
        <v>299</v>
      </c>
      <c r="K12" s="50">
        <f>F12*I12</f>
        <v>19875</v>
      </c>
      <c r="L12" s="51"/>
      <c r="M12" s="45"/>
      <c r="N12" s="51">
        <f>F12*J12</f>
        <v>22425</v>
      </c>
      <c r="O12" s="29"/>
      <c r="P12" s="47"/>
      <c r="Q12" s="26"/>
    </row>
    <row r="13" ht="30.75" customHeight="1" spans="1:17" x14ac:dyDescent="0.25">
      <c r="A13" s="26"/>
      <c r="B13" s="44" t="s">
        <v>38</v>
      </c>
      <c r="C13" s="45"/>
      <c r="D13" s="45"/>
      <c r="E13" s="46"/>
      <c r="F13" s="49">
        <v>2</v>
      </c>
      <c r="G13" s="44" t="s">
        <v>37</v>
      </c>
      <c r="H13" s="46"/>
      <c r="I13" s="49">
        <v>2300</v>
      </c>
      <c r="J13" s="50">
        <v>4900</v>
      </c>
      <c r="K13" s="50">
        <f t="shared" ref="K13:K36" si="0">F13*I13</f>
        <v>4600</v>
      </c>
      <c r="L13" s="51"/>
      <c r="M13" s="52"/>
      <c r="N13" s="51">
        <f t="shared" ref="N13:N36" si="1">F13*J13</f>
        <v>9800</v>
      </c>
      <c r="O13" s="29"/>
      <c r="P13" s="47"/>
      <c r="Q13" s="26"/>
    </row>
    <row r="14" ht="30.75" customHeight="1" spans="1:17" x14ac:dyDescent="0.25">
      <c r="A14" s="26"/>
      <c r="B14" s="44" t="s">
        <v>39</v>
      </c>
      <c r="C14" s="45"/>
      <c r="D14" s="45"/>
      <c r="E14" s="46"/>
      <c r="F14" s="49">
        <v>45</v>
      </c>
      <c r="G14" s="44" t="s">
        <v>37</v>
      </c>
      <c r="H14" s="46"/>
      <c r="I14" s="49">
        <v>230</v>
      </c>
      <c r="J14" s="50">
        <v>299</v>
      </c>
      <c r="K14" s="50">
        <f t="shared" si="0"/>
        <v>10350</v>
      </c>
      <c r="L14" s="51"/>
      <c r="M14" s="52"/>
      <c r="N14" s="51">
        <f t="shared" si="1"/>
        <v>13455</v>
      </c>
      <c r="O14" s="29"/>
      <c r="P14" s="47"/>
      <c r="Q14" s="26"/>
    </row>
    <row r="15" ht="30.75" customHeight="1" spans="1:17" x14ac:dyDescent="0.25">
      <c r="A15" s="26"/>
      <c r="B15" s="44" t="s">
        <v>40</v>
      </c>
      <c r="C15" s="45"/>
      <c r="D15" s="45"/>
      <c r="E15" s="46"/>
      <c r="F15" s="49">
        <v>1</v>
      </c>
      <c r="G15" s="44" t="s">
        <v>37</v>
      </c>
      <c r="H15" s="46"/>
      <c r="I15" s="49">
        <v>5300</v>
      </c>
      <c r="J15" s="50">
        <v>7900</v>
      </c>
      <c r="K15" s="50">
        <f t="shared" si="0"/>
        <v>5300</v>
      </c>
      <c r="L15" s="51"/>
      <c r="M15" s="52"/>
      <c r="N15" s="51">
        <f t="shared" si="1"/>
        <v>7900</v>
      </c>
      <c r="O15" s="29"/>
      <c r="P15" s="47"/>
      <c r="Q15" s="26"/>
    </row>
    <row r="16" ht="30.75" customHeight="1" spans="1:17" x14ac:dyDescent="0.25">
      <c r="A16" s="26"/>
      <c r="B16" s="44" t="s">
        <v>41</v>
      </c>
      <c r="C16" s="45"/>
      <c r="D16" s="45"/>
      <c r="E16" s="46"/>
      <c r="F16" s="49">
        <v>20</v>
      </c>
      <c r="G16" s="44" t="s">
        <v>37</v>
      </c>
      <c r="H16" s="46"/>
      <c r="I16" s="49">
        <v>700</v>
      </c>
      <c r="J16" s="50">
        <v>899</v>
      </c>
      <c r="K16" s="50">
        <f t="shared" si="0"/>
        <v>14000</v>
      </c>
      <c r="L16" s="51"/>
      <c r="M16" s="52"/>
      <c r="N16" s="51">
        <f t="shared" si="1"/>
        <v>17980</v>
      </c>
      <c r="O16" s="29"/>
      <c r="P16" s="47"/>
      <c r="Q16" s="26"/>
    </row>
    <row r="17" ht="30.75" customHeight="1" spans="1:17" x14ac:dyDescent="0.25">
      <c r="A17" s="26"/>
      <c r="B17" s="44" t="s">
        <v>42</v>
      </c>
      <c r="C17" s="45"/>
      <c r="D17" s="45"/>
      <c r="E17" s="46"/>
      <c r="F17" s="49">
        <v>75</v>
      </c>
      <c r="G17" s="44" t="s">
        <v>37</v>
      </c>
      <c r="H17" s="46"/>
      <c r="I17" s="49">
        <v>280</v>
      </c>
      <c r="J17" s="50">
        <v>350</v>
      </c>
      <c r="K17" s="50">
        <f t="shared" si="0"/>
        <v>21000</v>
      </c>
      <c r="L17" s="51"/>
      <c r="M17" s="52"/>
      <c r="N17" s="51">
        <f t="shared" si="1"/>
        <v>26250</v>
      </c>
      <c r="O17" s="29"/>
      <c r="P17" s="47"/>
      <c r="Q17" s="26"/>
    </row>
    <row r="18" ht="30.75" customHeight="1" spans="1:17" x14ac:dyDescent="0.25">
      <c r="A18" s="26"/>
      <c r="B18" s="44" t="s">
        <v>43</v>
      </c>
      <c r="C18" s="45"/>
      <c r="D18" s="45"/>
      <c r="E18" s="46"/>
      <c r="F18" s="49">
        <v>45</v>
      </c>
      <c r="G18" s="44" t="s">
        <v>37</v>
      </c>
      <c r="H18" s="46"/>
      <c r="I18" s="49">
        <v>180</v>
      </c>
      <c r="J18" s="50">
        <v>259</v>
      </c>
      <c r="K18" s="50">
        <f t="shared" si="0"/>
        <v>8100</v>
      </c>
      <c r="L18" s="51"/>
      <c r="M18" s="52"/>
      <c r="N18" s="51">
        <f t="shared" si="1"/>
        <v>11655</v>
      </c>
      <c r="O18" s="29"/>
      <c r="P18" s="47"/>
      <c r="Q18" s="26"/>
    </row>
    <row r="19" ht="30.75" customHeight="1" spans="1:17" x14ac:dyDescent="0.25">
      <c r="A19" s="26"/>
      <c r="B19" s="44" t="s">
        <v>44</v>
      </c>
      <c r="C19" s="45"/>
      <c r="D19" s="45"/>
      <c r="E19" s="46"/>
      <c r="F19" s="49">
        <v>36</v>
      </c>
      <c r="G19" s="44" t="s">
        <v>37</v>
      </c>
      <c r="H19" s="46"/>
      <c r="I19" s="49">
        <v>310</v>
      </c>
      <c r="J19" s="50">
        <v>399</v>
      </c>
      <c r="K19" s="50">
        <f t="shared" si="0"/>
        <v>11160</v>
      </c>
      <c r="L19" s="51"/>
      <c r="M19" s="52"/>
      <c r="N19" s="51">
        <f t="shared" si="1"/>
        <v>14364</v>
      </c>
      <c r="O19" s="29"/>
      <c r="P19" s="47"/>
      <c r="Q19" s="26"/>
    </row>
    <row r="20" ht="30.75" customHeight="1" spans="1:17" x14ac:dyDescent="0.25">
      <c r="A20" s="26"/>
      <c r="B20" s="44" t="s">
        <v>45</v>
      </c>
      <c r="C20" s="45"/>
      <c r="D20" s="45"/>
      <c r="E20" s="46"/>
      <c r="F20" s="49">
        <v>3</v>
      </c>
      <c r="G20" s="44" t="s">
        <v>37</v>
      </c>
      <c r="H20" s="46"/>
      <c r="I20" s="49">
        <v>3800</v>
      </c>
      <c r="J20" s="50">
        <v>4900</v>
      </c>
      <c r="K20" s="50">
        <f t="shared" si="0"/>
        <v>11400</v>
      </c>
      <c r="L20" s="51"/>
      <c r="M20" s="52"/>
      <c r="N20" s="51">
        <f t="shared" si="1"/>
        <v>14700</v>
      </c>
      <c r="O20" s="29"/>
      <c r="P20" s="47"/>
      <c r="Q20" s="26"/>
    </row>
    <row r="21" ht="30.75" customHeight="1" spans="1:17" x14ac:dyDescent="0.25">
      <c r="A21" s="26"/>
      <c r="B21" s="44" t="s">
        <v>46</v>
      </c>
      <c r="C21" s="45"/>
      <c r="D21" s="45"/>
      <c r="E21" s="46"/>
      <c r="F21" s="49">
        <v>3</v>
      </c>
      <c r="G21" s="44" t="s">
        <v>37</v>
      </c>
      <c r="H21" s="46"/>
      <c r="I21" s="49">
        <v>2200</v>
      </c>
      <c r="J21" s="50">
        <v>3300</v>
      </c>
      <c r="K21" s="50">
        <f t="shared" si="0"/>
        <v>6600</v>
      </c>
      <c r="L21" s="51"/>
      <c r="M21" s="52"/>
      <c r="N21" s="51">
        <f t="shared" si="1"/>
        <v>9900</v>
      </c>
      <c r="O21" s="29"/>
      <c r="P21" s="47"/>
      <c r="Q21" s="26"/>
    </row>
    <row r="22" ht="30.75" customHeight="1" spans="1:17" x14ac:dyDescent="0.25">
      <c r="A22" s="26"/>
      <c r="B22" s="44" t="s">
        <v>47</v>
      </c>
      <c r="C22" s="45"/>
      <c r="D22" s="45"/>
      <c r="E22" s="46"/>
      <c r="F22" s="49">
        <v>3</v>
      </c>
      <c r="G22" s="44" t="s">
        <v>37</v>
      </c>
      <c r="H22" s="46"/>
      <c r="I22" s="49">
        <v>2500</v>
      </c>
      <c r="J22" s="50">
        <v>2985</v>
      </c>
      <c r="K22" s="50">
        <f t="shared" si="0"/>
        <v>7500</v>
      </c>
      <c r="L22" s="51"/>
      <c r="M22" s="52"/>
      <c r="N22" s="51">
        <f>F22*J22</f>
        <v>8955</v>
      </c>
      <c r="O22" s="29"/>
      <c r="P22" s="47"/>
      <c r="Q22" s="26"/>
    </row>
    <row r="23" ht="30.75" customHeight="1" spans="1:17" x14ac:dyDescent="0.25">
      <c r="A23" s="26"/>
      <c r="B23" s="44" t="s">
        <v>48</v>
      </c>
      <c r="C23" s="45"/>
      <c r="D23" s="45"/>
      <c r="E23" s="46"/>
      <c r="F23" s="49">
        <v>2</v>
      </c>
      <c r="G23" s="44" t="s">
        <v>37</v>
      </c>
      <c r="H23" s="46"/>
      <c r="I23" s="49">
        <v>2200</v>
      </c>
      <c r="J23" s="50">
        <v>3980</v>
      </c>
      <c r="K23" s="50">
        <f t="shared" si="0"/>
        <v>4400</v>
      </c>
      <c r="L23" s="51"/>
      <c r="M23" s="52"/>
      <c r="N23" s="51">
        <f t="shared" si="1"/>
        <v>7960</v>
      </c>
      <c r="O23" s="29"/>
      <c r="P23" s="47"/>
      <c r="Q23" s="26"/>
    </row>
    <row r="24" ht="30.75" customHeight="1" spans="1:17" x14ac:dyDescent="0.25">
      <c r="A24" s="26"/>
      <c r="B24" s="44" t="s">
        <v>49</v>
      </c>
      <c r="C24" s="45"/>
      <c r="D24" s="45"/>
      <c r="E24" s="46"/>
      <c r="F24" s="49">
        <v>1</v>
      </c>
      <c r="G24" s="44" t="s">
        <v>37</v>
      </c>
      <c r="H24" s="46"/>
      <c r="I24" s="49">
        <v>1350</v>
      </c>
      <c r="J24" s="50">
        <v>1990</v>
      </c>
      <c r="K24" s="50">
        <f t="shared" si="0"/>
        <v>1350</v>
      </c>
      <c r="L24" s="51"/>
      <c r="M24" s="52"/>
      <c r="N24" s="51">
        <f t="shared" si="1"/>
        <v>1990</v>
      </c>
      <c r="O24" s="29"/>
      <c r="P24" s="47"/>
      <c r="Q24" s="26"/>
    </row>
    <row r="25" ht="30.75" customHeight="1" spans="1:17" x14ac:dyDescent="0.25">
      <c r="A25" s="26"/>
      <c r="B25" s="44" t="s">
        <v>50</v>
      </c>
      <c r="C25" s="45"/>
      <c r="D25" s="45"/>
      <c r="E25" s="46"/>
      <c r="F25" s="49">
        <v>2</v>
      </c>
      <c r="G25" s="44" t="s">
        <v>37</v>
      </c>
      <c r="H25" s="46"/>
      <c r="I25" s="49">
        <v>1500</v>
      </c>
      <c r="J25" s="50">
        <v>2385</v>
      </c>
      <c r="K25" s="50">
        <f t="shared" si="0"/>
        <v>3000</v>
      </c>
      <c r="L25" s="51"/>
      <c r="M25" s="52"/>
      <c r="N25" s="51">
        <f t="shared" si="1"/>
        <v>4770</v>
      </c>
      <c r="O25" s="29"/>
      <c r="P25" s="47"/>
      <c r="Q25" s="26"/>
    </row>
    <row r="26" ht="30.75" customHeight="1" spans="1:17" x14ac:dyDescent="0.25">
      <c r="A26" s="26"/>
      <c r="B26" s="44" t="s">
        <v>51</v>
      </c>
      <c r="C26" s="45"/>
      <c r="D26" s="45"/>
      <c r="E26" s="46"/>
      <c r="F26" s="49">
        <v>3</v>
      </c>
      <c r="G26" s="44" t="s">
        <v>37</v>
      </c>
      <c r="H26" s="46"/>
      <c r="I26" s="49">
        <v>1000</v>
      </c>
      <c r="J26" s="50">
        <v>1600</v>
      </c>
      <c r="K26" s="50">
        <f t="shared" si="0"/>
        <v>3000</v>
      </c>
      <c r="L26" s="51"/>
      <c r="M26" s="52"/>
      <c r="N26" s="51">
        <f t="shared" si="1"/>
        <v>4800</v>
      </c>
      <c r="O26" s="29"/>
      <c r="P26" s="47"/>
      <c r="Q26" s="26" t="s">
        <v>52</v>
      </c>
    </row>
    <row r="27" ht="30.75" customHeight="1" spans="1:17" x14ac:dyDescent="0.25">
      <c r="A27" s="26"/>
      <c r="B27" s="44" t="s">
        <v>53</v>
      </c>
      <c r="C27" s="45"/>
      <c r="D27" s="45"/>
      <c r="E27" s="46"/>
      <c r="F27" s="49">
        <v>1</v>
      </c>
      <c r="G27" s="44" t="s">
        <v>37</v>
      </c>
      <c r="H27" s="46"/>
      <c r="I27" s="49">
        <v>3150</v>
      </c>
      <c r="J27" s="50">
        <v>3870</v>
      </c>
      <c r="K27" s="50">
        <f t="shared" si="0"/>
        <v>3150</v>
      </c>
      <c r="L27" s="51"/>
      <c r="M27" s="52"/>
      <c r="N27" s="51">
        <f t="shared" si="1"/>
        <v>3870</v>
      </c>
      <c r="O27" s="29"/>
      <c r="P27" s="47"/>
      <c r="Q27" s="26"/>
    </row>
    <row r="28" ht="30.75" customHeight="1" spans="1:17" x14ac:dyDescent="0.25">
      <c r="A28" s="26"/>
      <c r="B28" s="44" t="s">
        <v>54</v>
      </c>
      <c r="C28" s="45"/>
      <c r="D28" s="45"/>
      <c r="E28" s="46"/>
      <c r="F28" s="49">
        <v>1</v>
      </c>
      <c r="G28" s="44" t="s">
        <v>37</v>
      </c>
      <c r="H28" s="46"/>
      <c r="I28" s="49">
        <v>3150</v>
      </c>
      <c r="J28" s="50">
        <v>3870</v>
      </c>
      <c r="K28" s="50">
        <f t="shared" si="0"/>
        <v>3150</v>
      </c>
      <c r="L28" s="51"/>
      <c r="M28" s="52"/>
      <c r="N28" s="51">
        <f t="shared" si="1"/>
        <v>3870</v>
      </c>
      <c r="O28" s="29"/>
      <c r="P28" s="47"/>
      <c r="Q28" s="26"/>
    </row>
    <row r="29" ht="30.75" customHeight="1" spans="1:17" x14ac:dyDescent="0.25">
      <c r="A29" s="26"/>
      <c r="B29" s="44" t="s">
        <v>55</v>
      </c>
      <c r="C29" s="45"/>
      <c r="D29" s="45"/>
      <c r="E29" s="46"/>
      <c r="F29" s="49">
        <v>10</v>
      </c>
      <c r="G29" s="44" t="s">
        <v>37</v>
      </c>
      <c r="H29" s="46"/>
      <c r="I29" s="49">
        <v>2145</v>
      </c>
      <c r="J29" s="50">
        <v>2970</v>
      </c>
      <c r="K29" s="50">
        <f t="shared" si="0"/>
        <v>21450</v>
      </c>
      <c r="L29" s="51"/>
      <c r="M29" s="52"/>
      <c r="N29" s="51">
        <f t="shared" si="1"/>
        <v>29700</v>
      </c>
      <c r="O29" s="29"/>
      <c r="P29" s="47"/>
      <c r="Q29" s="26"/>
    </row>
    <row r="30" ht="30.75" customHeight="1" spans="1:17" x14ac:dyDescent="0.25">
      <c r="A30" s="26"/>
      <c r="B30" s="44" t="s">
        <v>56</v>
      </c>
      <c r="C30" s="45"/>
      <c r="D30" s="45"/>
      <c r="E30" s="46"/>
      <c r="F30" s="49">
        <v>2</v>
      </c>
      <c r="G30" s="44" t="s">
        <v>37</v>
      </c>
      <c r="H30" s="46"/>
      <c r="I30" s="49">
        <v>1200</v>
      </c>
      <c r="J30" s="50">
        <v>1592</v>
      </c>
      <c r="K30" s="50">
        <f t="shared" si="0"/>
        <v>2400</v>
      </c>
      <c r="L30" s="51"/>
      <c r="M30" s="52"/>
      <c r="N30" s="51">
        <f t="shared" si="1"/>
        <v>3184</v>
      </c>
      <c r="O30" s="29"/>
      <c r="P30" s="47"/>
      <c r="Q30" s="26"/>
    </row>
    <row r="31" ht="30.75" customHeight="1" spans="1:17" x14ac:dyDescent="0.25">
      <c r="A31" s="26"/>
      <c r="B31" s="44" t="s">
        <v>57</v>
      </c>
      <c r="C31" s="45"/>
      <c r="D31" s="45"/>
      <c r="E31" s="46"/>
      <c r="F31" s="49">
        <v>2</v>
      </c>
      <c r="G31" s="44" t="s">
        <v>37</v>
      </c>
      <c r="H31" s="46"/>
      <c r="I31" s="49">
        <v>2750</v>
      </c>
      <c r="J31" s="50">
        <v>4975</v>
      </c>
      <c r="K31" s="50">
        <f t="shared" si="0"/>
        <v>5500</v>
      </c>
      <c r="L31" s="51"/>
      <c r="M31" s="52"/>
      <c r="N31" s="51">
        <f t="shared" si="1"/>
        <v>9950</v>
      </c>
      <c r="O31" s="29"/>
      <c r="P31" s="47"/>
      <c r="Q31" s="26"/>
    </row>
    <row r="32" ht="30.75" customHeight="1" spans="1:17" x14ac:dyDescent="0.25">
      <c r="A32" s="26"/>
      <c r="B32" s="44" t="s">
        <v>58</v>
      </c>
      <c r="C32" s="45"/>
      <c r="D32" s="45"/>
      <c r="E32" s="46"/>
      <c r="F32" s="49">
        <v>2</v>
      </c>
      <c r="G32" s="44" t="s">
        <v>37</v>
      </c>
      <c r="H32" s="46"/>
      <c r="I32" s="49">
        <v>2500</v>
      </c>
      <c r="J32" s="50">
        <v>3225</v>
      </c>
      <c r="K32" s="50">
        <f t="shared" si="0"/>
        <v>5000</v>
      </c>
      <c r="L32" s="51"/>
      <c r="M32" s="52"/>
      <c r="N32" s="51">
        <f t="shared" si="1"/>
        <v>6450</v>
      </c>
      <c r="O32" s="29"/>
      <c r="P32" s="47"/>
      <c r="Q32" s="26"/>
    </row>
    <row r="33" ht="30.75" customHeight="1" spans="1:17" x14ac:dyDescent="0.25">
      <c r="A33" s="26"/>
      <c r="B33" s="44" t="s">
        <v>59</v>
      </c>
      <c r="C33" s="45"/>
      <c r="D33" s="45"/>
      <c r="E33" s="46"/>
      <c r="F33" s="49">
        <v>6</v>
      </c>
      <c r="G33" s="44" t="s">
        <v>37</v>
      </c>
      <c r="H33" s="46"/>
      <c r="I33" s="49">
        <v>2300</v>
      </c>
      <c r="J33" s="50">
        <v>3000</v>
      </c>
      <c r="K33" s="50">
        <f t="shared" si="0"/>
        <v>13800</v>
      </c>
      <c r="L33" s="51"/>
      <c r="M33" s="52"/>
      <c r="N33" s="51">
        <f t="shared" si="1"/>
        <v>18000</v>
      </c>
      <c r="O33" s="29"/>
      <c r="P33" s="47"/>
      <c r="Q33" s="26"/>
    </row>
    <row r="34" ht="30.75" customHeight="1" spans="1:17" x14ac:dyDescent="0.25">
      <c r="A34" s="26"/>
      <c r="B34" s="44" t="s">
        <v>60</v>
      </c>
      <c r="C34" s="45"/>
      <c r="D34" s="45"/>
      <c r="E34" s="46"/>
      <c r="F34" s="49">
        <v>1</v>
      </c>
      <c r="G34" s="44" t="s">
        <v>37</v>
      </c>
      <c r="H34" s="46"/>
      <c r="I34" s="49">
        <v>3800</v>
      </c>
      <c r="J34" s="50">
        <v>4975</v>
      </c>
      <c r="K34" s="50">
        <f t="shared" si="0"/>
        <v>3800</v>
      </c>
      <c r="L34" s="51"/>
      <c r="M34" s="52"/>
      <c r="N34" s="51">
        <f t="shared" si="1"/>
        <v>4975</v>
      </c>
      <c r="O34" s="29"/>
      <c r="P34" s="47"/>
      <c r="Q34" s="26"/>
    </row>
    <row r="35" ht="30.75" customHeight="1" spans="1:17" x14ac:dyDescent="0.25">
      <c r="A35" s="26"/>
      <c r="B35" s="44" t="s">
        <v>61</v>
      </c>
      <c r="C35" s="45"/>
      <c r="D35" s="45"/>
      <c r="E35" s="46"/>
      <c r="F35" s="49">
        <v>16</v>
      </c>
      <c r="G35" s="44" t="s">
        <v>37</v>
      </c>
      <c r="H35" s="46"/>
      <c r="I35" s="49">
        <v>330</v>
      </c>
      <c r="J35" s="50">
        <v>399</v>
      </c>
      <c r="K35" s="50">
        <f t="shared" si="0"/>
        <v>5280</v>
      </c>
      <c r="L35" s="51"/>
      <c r="M35" s="52"/>
      <c r="N35" s="51">
        <f t="shared" si="1"/>
        <v>6384</v>
      </c>
      <c r="O35" s="29"/>
      <c r="P35" s="47"/>
      <c r="Q35" s="26"/>
    </row>
    <row r="36" ht="30.75" customHeight="1" spans="1:17" x14ac:dyDescent="0.25">
      <c r="A36" s="26"/>
      <c r="B36" s="44" t="s">
        <v>62</v>
      </c>
      <c r="C36" s="45"/>
      <c r="D36" s="45"/>
      <c r="E36" s="46"/>
      <c r="F36" s="49">
        <v>1</v>
      </c>
      <c r="G36" s="44" t="s">
        <v>37</v>
      </c>
      <c r="H36" s="46"/>
      <c r="I36" s="49">
        <v>2500</v>
      </c>
      <c r="J36" s="50">
        <v>3000</v>
      </c>
      <c r="K36" s="50">
        <f t="shared" si="0"/>
        <v>2500</v>
      </c>
      <c r="L36" s="38"/>
      <c r="M36" s="53"/>
      <c r="N36" s="51">
        <f t="shared" si="1"/>
        <v>3000</v>
      </c>
      <c r="O36" s="29"/>
      <c r="P36" s="47"/>
      <c r="Q36" s="26"/>
    </row>
    <row r="37" ht="26.25" customHeight="1" spans="1:17" x14ac:dyDescent="0.25">
      <c r="A37" s="26"/>
      <c r="B37" s="44" t="s">
        <v>25</v>
      </c>
      <c r="C37" s="45"/>
      <c r="D37" s="45"/>
      <c r="E37" s="45"/>
      <c r="F37" s="45"/>
      <c r="G37" s="45"/>
      <c r="H37" s="45"/>
      <c r="I37" s="45"/>
      <c r="J37" s="45"/>
      <c r="K37" s="54">
        <f>SUM(K12:K36)</f>
        <v>197665</v>
      </c>
      <c r="L37" s="55"/>
      <c r="M37" s="56"/>
      <c r="N37" s="57">
        <f>SUM(N12:N36)</f>
        <v>266287</v>
      </c>
      <c r="O37" s="29"/>
      <c r="P37" s="29"/>
      <c r="Q37" s="26"/>
    </row>
    <row r="38" ht="15" customHeight="1" spans="1:17" x14ac:dyDescent="0.25">
      <c r="A38" s="26"/>
      <c r="B38" s="26"/>
      <c r="C38" s="26"/>
      <c r="D38" s="26"/>
      <c r="E38" s="58" t="s">
        <v>7</v>
      </c>
      <c r="F38" s="58"/>
      <c r="G38" s="58"/>
      <c r="H38" s="58"/>
      <c r="I38" s="58"/>
      <c r="J38" s="58"/>
      <c r="K38" s="28" t="s">
        <v>8</v>
      </c>
      <c r="L38" s="28">
        <v>2</v>
      </c>
      <c r="M38" s="28"/>
      <c r="N38" s="28"/>
      <c r="O38" s="26"/>
      <c r="P38" s="26"/>
      <c r="Q38" s="26"/>
    </row>
    <row r="39" ht="15" customHeight="1" spans="1:17" x14ac:dyDescent="0.25">
      <c r="A39" s="26"/>
      <c r="B39" s="26"/>
      <c r="C39" s="26"/>
      <c r="D39" s="26"/>
      <c r="E39" s="27"/>
      <c r="F39" s="27"/>
      <c r="G39" s="27"/>
      <c r="H39" s="27"/>
      <c r="I39" s="27"/>
      <c r="J39" s="27"/>
      <c r="K39" s="26"/>
      <c r="L39" s="26"/>
      <c r="M39" s="26"/>
      <c r="N39" s="26"/>
      <c r="O39" s="26"/>
      <c r="P39" s="26"/>
      <c r="Q39" s="26"/>
    </row>
    <row r="40" ht="15" customHeight="1" spans="1:17" x14ac:dyDescent="0.25">
      <c r="A40" s="26"/>
      <c r="B40" s="26"/>
      <c r="C40" s="26"/>
      <c r="D40" s="26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</row>
    <row r="41" ht="15" customHeight="1" spans="1:17" x14ac:dyDescent="0.25">
      <c r="A41" s="26"/>
      <c r="B41" s="26"/>
      <c r="C41" s="26"/>
      <c r="D41" s="26"/>
      <c r="E41" s="26"/>
      <c r="F41" s="26"/>
      <c r="G41" s="26"/>
      <c r="H41" s="26"/>
      <c r="I41" s="29"/>
      <c r="J41" s="29"/>
      <c r="K41" s="30" t="s">
        <v>9</v>
      </c>
      <c r="L41" s="31" t="s">
        <v>9</v>
      </c>
      <c r="M41" s="32"/>
      <c r="N41" s="30" t="s">
        <v>26</v>
      </c>
      <c r="O41" s="29"/>
      <c r="P41" s="29"/>
      <c r="Q41" s="26"/>
    </row>
    <row r="42" ht="15" customHeight="1" spans="1:17" x14ac:dyDescent="0.25">
      <c r="A42" s="26"/>
      <c r="B42" s="26" t="s">
        <v>10</v>
      </c>
      <c r="C42" s="28" t="s">
        <v>27</v>
      </c>
      <c r="D42" s="26"/>
      <c r="E42" s="26"/>
      <c r="F42" s="26"/>
      <c r="G42" s="26"/>
      <c r="H42" s="26"/>
      <c r="I42" s="29"/>
      <c r="J42" s="29"/>
      <c r="K42" s="33" t="s">
        <v>12</v>
      </c>
      <c r="L42" s="59" t="s">
        <v>11</v>
      </c>
      <c r="M42" s="60"/>
      <c r="N42" s="33"/>
      <c r="O42" s="29"/>
      <c r="P42" s="29"/>
      <c r="Q42" s="26"/>
    </row>
    <row r="43" ht="15" customHeight="1" spans="1:17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6"/>
      <c r="L43" s="37"/>
      <c r="M43" s="38"/>
      <c r="N43" s="39"/>
      <c r="O43" s="26"/>
      <c r="P43" s="26"/>
      <c r="Q43" s="26"/>
    </row>
    <row r="44" ht="15" customHeight="1" spans="1:17" x14ac:dyDescent="0.25">
      <c r="A44" s="26"/>
      <c r="B44" s="26" t="s">
        <v>13</v>
      </c>
      <c r="C44" s="28" t="s">
        <v>28</v>
      </c>
      <c r="D44" s="26"/>
      <c r="E44" s="28" t="s">
        <v>14</v>
      </c>
      <c r="F44" s="40" t="str">
        <f>F7</f>
        <v>         2026年 　 2月 28日</v>
      </c>
      <c r="G44" s="40"/>
      <c r="H44" s="26"/>
      <c r="I44" s="26"/>
      <c r="J44" s="26"/>
      <c r="K44" s="36"/>
      <c r="L44" s="36"/>
      <c r="M44" s="39"/>
      <c r="N44" s="39"/>
      <c r="O44" s="26"/>
      <c r="P44" s="26"/>
      <c r="Q44" s="26"/>
    </row>
    <row r="45" ht="15" customHeight="1" spans="1:17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6"/>
      <c r="L45" s="36"/>
      <c r="M45" s="39"/>
      <c r="N45" s="39"/>
      <c r="O45" s="26"/>
      <c r="P45" s="26"/>
      <c r="Q45" s="26"/>
    </row>
    <row r="46" ht="15" customHeight="1" spans="1:17" x14ac:dyDescent="0.25">
      <c r="A46" s="26"/>
      <c r="B46" s="26" t="s">
        <v>16</v>
      </c>
      <c r="C46" s="41" t="s">
        <v>30</v>
      </c>
      <c r="D46" s="26"/>
      <c r="E46" s="40" t="s">
        <v>31</v>
      </c>
      <c r="F46" s="28"/>
      <c r="G46" s="28"/>
      <c r="H46" s="26"/>
      <c r="I46" s="26"/>
      <c r="J46" s="26"/>
      <c r="K46" s="42"/>
      <c r="L46" s="42"/>
      <c r="M46" s="43"/>
      <c r="N46" s="43"/>
      <c r="O46" s="26"/>
      <c r="P46" s="26"/>
      <c r="Q46" s="26"/>
    </row>
    <row r="47" spans="1:17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 ht="24" customHeight="1" spans="1:17" x14ac:dyDescent="0.25">
      <c r="A48" s="26"/>
      <c r="B48" s="44" t="s">
        <v>19</v>
      </c>
      <c r="C48" s="45"/>
      <c r="D48" s="45"/>
      <c r="E48" s="46"/>
      <c r="F48" s="47" t="s">
        <v>20</v>
      </c>
      <c r="G48" s="44" t="s">
        <v>21</v>
      </c>
      <c r="H48" s="46"/>
      <c r="I48" s="47" t="s">
        <v>32</v>
      </c>
      <c r="J48" s="44" t="s">
        <v>22</v>
      </c>
      <c r="K48" s="44" t="s">
        <v>33</v>
      </c>
      <c r="L48" s="46"/>
      <c r="M48" s="44" t="s">
        <v>34</v>
      </c>
      <c r="N48" s="46"/>
      <c r="O48" s="29"/>
      <c r="P48" s="48" t="s">
        <v>35</v>
      </c>
      <c r="Q48" s="26"/>
    </row>
    <row r="49" ht="30.75" customHeight="1" spans="1:17" x14ac:dyDescent="0.25">
      <c r="A49" s="26"/>
      <c r="B49" s="44" t="s">
        <v>63</v>
      </c>
      <c r="C49" s="45"/>
      <c r="D49" s="45"/>
      <c r="E49" s="46"/>
      <c r="F49" s="49">
        <v>20</v>
      </c>
      <c r="G49" s="44" t="s">
        <v>37</v>
      </c>
      <c r="H49" s="46"/>
      <c r="I49" s="49">
        <v>100</v>
      </c>
      <c r="J49" s="50">
        <v>129</v>
      </c>
      <c r="K49" s="50">
        <f>F49*I49</f>
        <v>2000</v>
      </c>
      <c r="L49" s="51"/>
      <c r="M49" s="45"/>
      <c r="N49" s="51">
        <f>F49*J49</f>
        <v>2580</v>
      </c>
      <c r="O49" s="29"/>
      <c r="P49" s="47"/>
      <c r="Q49" s="26"/>
    </row>
    <row r="50" ht="30.75" customHeight="1" spans="1:17" x14ac:dyDescent="0.25">
      <c r="A50" s="26"/>
      <c r="B50" s="44" t="s">
        <v>64</v>
      </c>
      <c r="C50" s="45"/>
      <c r="D50" s="45"/>
      <c r="E50" s="46"/>
      <c r="F50" s="49">
        <v>1</v>
      </c>
      <c r="G50" s="44" t="s">
        <v>37</v>
      </c>
      <c r="H50" s="46"/>
      <c r="I50" s="49">
        <v>500</v>
      </c>
      <c r="J50" s="50">
        <v>990</v>
      </c>
      <c r="K50" s="50">
        <f t="shared" ref="K50:K73" si="2">F50*I50</f>
        <v>500</v>
      </c>
      <c r="L50" s="51"/>
      <c r="M50" s="52"/>
      <c r="N50" s="51">
        <f t="shared" ref="N50:N73" si="3">F50*J50</f>
        <v>990</v>
      </c>
      <c r="O50" s="29"/>
      <c r="P50" s="47"/>
      <c r="Q50" s="26"/>
    </row>
    <row r="51" ht="30.75" customHeight="1" spans="1:17" x14ac:dyDescent="0.25">
      <c r="A51" s="26"/>
      <c r="B51" s="44" t="s">
        <v>65</v>
      </c>
      <c r="C51" s="45"/>
      <c r="D51" s="45"/>
      <c r="E51" s="46"/>
      <c r="F51" s="49">
        <v>20</v>
      </c>
      <c r="G51" s="44" t="s">
        <v>37</v>
      </c>
      <c r="H51" s="46"/>
      <c r="I51" s="49">
        <v>70</v>
      </c>
      <c r="J51" s="50">
        <v>100</v>
      </c>
      <c r="K51" s="50">
        <f t="shared" si="2"/>
        <v>1400</v>
      </c>
      <c r="L51" s="51"/>
      <c r="M51" s="52"/>
      <c r="N51" s="51">
        <f t="shared" si="3"/>
        <v>2000</v>
      </c>
      <c r="O51" s="29"/>
      <c r="P51" s="47"/>
      <c r="Q51" s="26"/>
    </row>
    <row r="52" ht="30.75" customHeight="1" spans="1:17" x14ac:dyDescent="0.25">
      <c r="A52" s="26"/>
      <c r="B52" s="44" t="s">
        <v>66</v>
      </c>
      <c r="C52" s="45"/>
      <c r="D52" s="45"/>
      <c r="E52" s="46"/>
      <c r="F52" s="49">
        <v>2</v>
      </c>
      <c r="G52" s="44" t="s">
        <v>37</v>
      </c>
      <c r="H52" s="46"/>
      <c r="I52" s="49">
        <v>3000</v>
      </c>
      <c r="J52" s="50">
        <v>3870</v>
      </c>
      <c r="K52" s="50">
        <f t="shared" si="2"/>
        <v>6000</v>
      </c>
      <c r="L52" s="51"/>
      <c r="M52" s="52"/>
      <c r="N52" s="51">
        <f t="shared" si="3"/>
        <v>7740</v>
      </c>
      <c r="O52" s="29"/>
      <c r="P52" s="47"/>
      <c r="Q52" s="26"/>
    </row>
    <row r="53" ht="30.75" customHeight="1" spans="1:17" x14ac:dyDescent="0.25">
      <c r="A53" s="26"/>
      <c r="B53" s="44" t="s">
        <v>67</v>
      </c>
      <c r="C53" s="45"/>
      <c r="D53" s="45"/>
      <c r="E53" s="46"/>
      <c r="F53" s="49">
        <v>25</v>
      </c>
      <c r="G53" s="44" t="s">
        <v>37</v>
      </c>
      <c r="H53" s="46"/>
      <c r="I53" s="49">
        <v>140</v>
      </c>
      <c r="J53" s="50">
        <v>199</v>
      </c>
      <c r="K53" s="50">
        <f t="shared" si="2"/>
        <v>3500</v>
      </c>
      <c r="L53" s="51"/>
      <c r="M53" s="52"/>
      <c r="N53" s="51">
        <f t="shared" si="3"/>
        <v>4975</v>
      </c>
      <c r="O53" s="29"/>
      <c r="P53" s="47"/>
      <c r="Q53" s="26"/>
    </row>
    <row r="54" ht="30.75" customHeight="1" spans="1:17" x14ac:dyDescent="0.25">
      <c r="A54" s="26"/>
      <c r="B54" s="44" t="s">
        <v>68</v>
      </c>
      <c r="C54" s="45"/>
      <c r="D54" s="45"/>
      <c r="E54" s="46"/>
      <c r="F54" s="49">
        <v>1</v>
      </c>
      <c r="G54" s="44" t="s">
        <v>37</v>
      </c>
      <c r="H54" s="46"/>
      <c r="I54" s="49">
        <v>4000</v>
      </c>
      <c r="J54" s="50">
        <v>6400</v>
      </c>
      <c r="K54" s="50">
        <f t="shared" si="2"/>
        <v>4000</v>
      </c>
      <c r="L54" s="51"/>
      <c r="M54" s="52"/>
      <c r="N54" s="51">
        <f t="shared" si="3"/>
        <v>6400</v>
      </c>
      <c r="O54" s="29"/>
      <c r="P54" s="47"/>
      <c r="Q54" s="26"/>
    </row>
    <row r="55" ht="30.75" customHeight="1" spans="1:17" x14ac:dyDescent="0.25">
      <c r="A55" s="26"/>
      <c r="B55" s="44" t="s">
        <v>69</v>
      </c>
      <c r="C55" s="45"/>
      <c r="D55" s="45"/>
      <c r="E55" s="46"/>
      <c r="F55" s="49">
        <v>1</v>
      </c>
      <c r="G55" s="44" t="s">
        <v>37</v>
      </c>
      <c r="H55" s="46"/>
      <c r="I55" s="49">
        <v>2375</v>
      </c>
      <c r="J55" s="50">
        <v>3225</v>
      </c>
      <c r="K55" s="50">
        <f>F55*I55</f>
        <v>2375</v>
      </c>
      <c r="L55" s="51"/>
      <c r="M55" s="52"/>
      <c r="N55" s="51">
        <f t="shared" si="3"/>
        <v>3225</v>
      </c>
      <c r="O55" s="29"/>
      <c r="P55" s="47"/>
      <c r="Q55" s="26"/>
    </row>
    <row r="56" ht="30.75" customHeight="1" spans="1:17" x14ac:dyDescent="0.25">
      <c r="A56" s="26"/>
      <c r="B56" s="44" t="s">
        <v>70</v>
      </c>
      <c r="C56" s="45"/>
      <c r="D56" s="45"/>
      <c r="E56" s="46"/>
      <c r="F56" s="49">
        <v>1</v>
      </c>
      <c r="G56" s="44" t="s">
        <v>37</v>
      </c>
      <c r="H56" s="46"/>
      <c r="I56" s="49">
        <v>4300</v>
      </c>
      <c r="J56" s="50">
        <v>5380</v>
      </c>
      <c r="K56" s="50">
        <f t="shared" si="2"/>
        <v>4300</v>
      </c>
      <c r="L56" s="51"/>
      <c r="M56" s="52"/>
      <c r="N56" s="51">
        <f t="shared" si="3"/>
        <v>5380</v>
      </c>
      <c r="O56" s="29"/>
      <c r="P56" s="47"/>
      <c r="Q56" s="26"/>
    </row>
    <row r="57" ht="30.75" customHeight="1" spans="1:17" x14ac:dyDescent="0.25">
      <c r="A57" s="26"/>
      <c r="B57" s="44" t="s">
        <v>71</v>
      </c>
      <c r="C57" s="45"/>
      <c r="D57" s="45"/>
      <c r="E57" s="46"/>
      <c r="F57" s="49">
        <v>1</v>
      </c>
      <c r="G57" s="44" t="s">
        <v>37</v>
      </c>
      <c r="H57" s="46"/>
      <c r="I57" s="49">
        <v>4000</v>
      </c>
      <c r="J57" s="50">
        <v>5382</v>
      </c>
      <c r="K57" s="50">
        <f t="shared" si="2"/>
        <v>4000</v>
      </c>
      <c r="L57" s="51"/>
      <c r="M57" s="52"/>
      <c r="N57" s="51">
        <f t="shared" si="3"/>
        <v>5382</v>
      </c>
      <c r="O57" s="29"/>
      <c r="P57" s="47"/>
      <c r="Q57" s="26"/>
    </row>
    <row r="58" ht="30.75" customHeight="1" spans="1:17" x14ac:dyDescent="0.25">
      <c r="A58" s="26"/>
      <c r="B58" s="44" t="s">
        <v>72</v>
      </c>
      <c r="C58" s="45"/>
      <c r="D58" s="45"/>
      <c r="E58" s="46"/>
      <c r="F58" s="49">
        <v>1</v>
      </c>
      <c r="G58" s="44" t="s">
        <v>37</v>
      </c>
      <c r="H58" s="46"/>
      <c r="I58" s="49">
        <v>693</v>
      </c>
      <c r="J58" s="50">
        <v>1000</v>
      </c>
      <c r="K58" s="50">
        <f t="shared" si="2"/>
        <v>693</v>
      </c>
      <c r="L58" s="51"/>
      <c r="M58" s="52"/>
      <c r="N58" s="51">
        <f t="shared" si="3"/>
        <v>1000</v>
      </c>
      <c r="O58" s="29"/>
      <c r="P58" s="47"/>
      <c r="Q58" s="26"/>
    </row>
    <row r="59" ht="30.75" customHeight="1" spans="1:17" x14ac:dyDescent="0.25">
      <c r="A59" s="26"/>
      <c r="B59" s="44" t="s">
        <v>73</v>
      </c>
      <c r="C59" s="45"/>
      <c r="D59" s="45"/>
      <c r="E59" s="46"/>
      <c r="F59" s="49">
        <v>1</v>
      </c>
      <c r="G59" s="44" t="s">
        <v>37</v>
      </c>
      <c r="H59" s="46"/>
      <c r="I59" s="49">
        <v>1300</v>
      </c>
      <c r="J59" s="50">
        <v>1980</v>
      </c>
      <c r="K59" s="50">
        <f t="shared" si="2"/>
        <v>1300</v>
      </c>
      <c r="L59" s="51"/>
      <c r="M59" s="52"/>
      <c r="N59" s="51">
        <f t="shared" si="3"/>
        <v>1980</v>
      </c>
      <c r="O59" s="29"/>
      <c r="P59" s="47"/>
      <c r="Q59" s="26"/>
    </row>
    <row r="60" ht="30.75" customHeight="1" spans="1:17" x14ac:dyDescent="0.25">
      <c r="A60" s="26"/>
      <c r="B60" s="44" t="s">
        <v>74</v>
      </c>
      <c r="C60" s="45"/>
      <c r="D60" s="45"/>
      <c r="E60" s="46"/>
      <c r="F60" s="49">
        <v>50</v>
      </c>
      <c r="G60" s="44" t="s">
        <v>37</v>
      </c>
      <c r="H60" s="46"/>
      <c r="I60" s="49">
        <v>95</v>
      </c>
      <c r="J60" s="50">
        <v>129</v>
      </c>
      <c r="K60" s="50">
        <f t="shared" si="2"/>
        <v>4750</v>
      </c>
      <c r="L60" s="51"/>
      <c r="M60" s="52"/>
      <c r="N60" s="51">
        <f t="shared" si="3"/>
        <v>6450</v>
      </c>
      <c r="O60" s="29"/>
      <c r="P60" s="47"/>
      <c r="Q60" s="26"/>
    </row>
    <row r="61" ht="30.75" customHeight="1" spans="1:17" x14ac:dyDescent="0.25">
      <c r="A61" s="26"/>
      <c r="B61" s="44" t="s">
        <v>75</v>
      </c>
      <c r="C61" s="45"/>
      <c r="D61" s="45"/>
      <c r="E61" s="46"/>
      <c r="F61" s="49">
        <v>12</v>
      </c>
      <c r="G61" s="44" t="s">
        <v>37</v>
      </c>
      <c r="H61" s="46"/>
      <c r="I61" s="49">
        <v>235</v>
      </c>
      <c r="J61" s="50">
        <v>299</v>
      </c>
      <c r="K61" s="50">
        <f t="shared" si="2"/>
        <v>2820</v>
      </c>
      <c r="L61" s="51"/>
      <c r="M61" s="52"/>
      <c r="N61" s="51">
        <f t="shared" si="3"/>
        <v>3588</v>
      </c>
      <c r="O61" s="29"/>
      <c r="P61" s="47"/>
      <c r="Q61" s="26"/>
    </row>
    <row r="62" ht="30.75" customHeight="1" spans="1:17" x14ac:dyDescent="0.25">
      <c r="A62" s="26"/>
      <c r="B62" s="44" t="s">
        <v>76</v>
      </c>
      <c r="C62" s="45"/>
      <c r="D62" s="45"/>
      <c r="E62" s="46"/>
      <c r="F62" s="49">
        <v>12</v>
      </c>
      <c r="G62" s="44" t="s">
        <v>37</v>
      </c>
      <c r="H62" s="46"/>
      <c r="I62" s="49">
        <v>95</v>
      </c>
      <c r="J62" s="50">
        <v>129</v>
      </c>
      <c r="K62" s="50">
        <f t="shared" si="2"/>
        <v>1140</v>
      </c>
      <c r="L62" s="51"/>
      <c r="M62" s="52"/>
      <c r="N62" s="51">
        <f t="shared" si="3"/>
        <v>1548</v>
      </c>
      <c r="O62" s="29"/>
      <c r="P62" s="47"/>
      <c r="Q62" s="26"/>
    </row>
    <row r="63" ht="30.75" customHeight="1" spans="1:17" x14ac:dyDescent="0.25">
      <c r="A63" s="26"/>
      <c r="B63" s="44" t="s">
        <v>77</v>
      </c>
      <c r="C63" s="45"/>
      <c r="D63" s="45"/>
      <c r="E63" s="46"/>
      <c r="F63" s="49">
        <v>1</v>
      </c>
      <c r="G63" s="44" t="s">
        <v>37</v>
      </c>
      <c r="H63" s="46"/>
      <c r="I63" s="49">
        <v>2500</v>
      </c>
      <c r="J63" s="50">
        <v>3100</v>
      </c>
      <c r="K63" s="50">
        <f t="shared" si="2"/>
        <v>2500</v>
      </c>
      <c r="L63" s="51"/>
      <c r="M63" s="52"/>
      <c r="N63" s="51">
        <f t="shared" si="3"/>
        <v>3100</v>
      </c>
      <c r="O63" s="29"/>
      <c r="P63" s="47"/>
      <c r="Q63" s="26"/>
    </row>
    <row r="64" ht="30.75" customHeight="1" spans="1:17" x14ac:dyDescent="0.25">
      <c r="A64" s="26"/>
      <c r="B64" s="44"/>
      <c r="C64" s="45"/>
      <c r="D64" s="45"/>
      <c r="E64" s="46"/>
      <c r="F64" s="49"/>
      <c r="G64" s="44" t="s">
        <v>37</v>
      </c>
      <c r="H64" s="46"/>
      <c r="I64" s="49"/>
      <c r="J64" s="50"/>
      <c r="K64" s="50">
        <f t="shared" si="2"/>
        <v>0</v>
      </c>
      <c r="L64" s="51"/>
      <c r="M64" s="52"/>
      <c r="N64" s="51">
        <f t="shared" si="3"/>
        <v>0</v>
      </c>
      <c r="O64" s="29"/>
      <c r="P64" s="47"/>
      <c r="Q64" s="26"/>
    </row>
    <row r="65" ht="30.75" customHeight="1" spans="1:17" x14ac:dyDescent="0.25">
      <c r="A65" s="26"/>
      <c r="B65" s="44"/>
      <c r="C65" s="45"/>
      <c r="D65" s="45"/>
      <c r="E65" s="46"/>
      <c r="F65" s="49"/>
      <c r="G65" s="44" t="s">
        <v>37</v>
      </c>
      <c r="H65" s="46"/>
      <c r="I65" s="49"/>
      <c r="J65" s="50"/>
      <c r="K65" s="50">
        <f t="shared" si="2"/>
        <v>0</v>
      </c>
      <c r="L65" s="51"/>
      <c r="M65" s="52"/>
      <c r="N65" s="51">
        <f t="shared" si="3"/>
        <v>0</v>
      </c>
      <c r="O65" s="29"/>
      <c r="P65" s="47"/>
      <c r="Q65" s="26"/>
    </row>
    <row r="66" ht="30.75" customHeight="1" spans="1:17" x14ac:dyDescent="0.25">
      <c r="A66" s="26"/>
      <c r="B66" s="44"/>
      <c r="C66" s="45"/>
      <c r="D66" s="45"/>
      <c r="E66" s="46"/>
      <c r="F66" s="49"/>
      <c r="G66" s="44" t="s">
        <v>37</v>
      </c>
      <c r="H66" s="46"/>
      <c r="I66" s="49"/>
      <c r="J66" s="50"/>
      <c r="K66" s="50">
        <f t="shared" si="2"/>
        <v>0</v>
      </c>
      <c r="L66" s="51"/>
      <c r="M66" s="52"/>
      <c r="N66" s="51">
        <f t="shared" si="3"/>
        <v>0</v>
      </c>
      <c r="O66" s="29"/>
      <c r="P66" s="47"/>
      <c r="Q66" s="26"/>
    </row>
    <row r="67" ht="30.75" customHeight="1" spans="1:17" x14ac:dyDescent="0.25">
      <c r="A67" s="26"/>
      <c r="B67" s="44"/>
      <c r="C67" s="45"/>
      <c r="D67" s="45"/>
      <c r="E67" s="46"/>
      <c r="F67" s="49"/>
      <c r="G67" s="44" t="s">
        <v>37</v>
      </c>
      <c r="H67" s="46"/>
      <c r="I67" s="49"/>
      <c r="J67" s="50"/>
      <c r="K67" s="50">
        <f t="shared" si="2"/>
        <v>0</v>
      </c>
      <c r="L67" s="51"/>
      <c r="M67" s="52"/>
      <c r="N67" s="51">
        <f t="shared" si="3"/>
        <v>0</v>
      </c>
      <c r="O67" s="29"/>
      <c r="P67" s="47"/>
      <c r="Q67" s="26"/>
    </row>
    <row r="68" ht="30.75" customHeight="1" spans="1:17" x14ac:dyDescent="0.25">
      <c r="A68" s="26"/>
      <c r="B68" s="44"/>
      <c r="C68" s="45"/>
      <c r="D68" s="45"/>
      <c r="E68" s="46"/>
      <c r="F68" s="49"/>
      <c r="G68" s="44" t="s">
        <v>37</v>
      </c>
      <c r="H68" s="46"/>
      <c r="I68" s="49"/>
      <c r="J68" s="50"/>
      <c r="K68" s="50">
        <f t="shared" si="2"/>
        <v>0</v>
      </c>
      <c r="L68" s="51"/>
      <c r="M68" s="52"/>
      <c r="N68" s="51">
        <f t="shared" si="3"/>
        <v>0</v>
      </c>
      <c r="O68" s="29"/>
      <c r="P68" s="47"/>
      <c r="Q68" s="26"/>
    </row>
    <row r="69" ht="30.75" customHeight="1" spans="1:17" x14ac:dyDescent="0.25">
      <c r="A69" s="26"/>
      <c r="B69" s="44"/>
      <c r="C69" s="45"/>
      <c r="D69" s="45"/>
      <c r="E69" s="46"/>
      <c r="F69" s="49"/>
      <c r="G69" s="44" t="s">
        <v>37</v>
      </c>
      <c r="H69" s="46"/>
      <c r="I69" s="49"/>
      <c r="J69" s="50"/>
      <c r="K69" s="50">
        <f t="shared" si="2"/>
        <v>0</v>
      </c>
      <c r="L69" s="51"/>
      <c r="M69" s="52"/>
      <c r="N69" s="51">
        <f t="shared" si="3"/>
        <v>0</v>
      </c>
      <c r="O69" s="29"/>
      <c r="P69" s="47"/>
      <c r="Q69" s="26"/>
    </row>
    <row r="70" ht="30.75" customHeight="1" spans="1:17" x14ac:dyDescent="0.25">
      <c r="A70" s="26"/>
      <c r="B70" s="44"/>
      <c r="C70" s="45"/>
      <c r="D70" s="45"/>
      <c r="E70" s="46"/>
      <c r="F70" s="49"/>
      <c r="G70" s="44" t="s">
        <v>37</v>
      </c>
      <c r="H70" s="46"/>
      <c r="I70" s="49"/>
      <c r="J70" s="50"/>
      <c r="K70" s="50">
        <f t="shared" si="2"/>
        <v>0</v>
      </c>
      <c r="L70" s="51"/>
      <c r="M70" s="52"/>
      <c r="N70" s="51">
        <f t="shared" si="3"/>
        <v>0</v>
      </c>
      <c r="O70" s="29"/>
      <c r="P70" s="47"/>
      <c r="Q70" s="26"/>
    </row>
    <row r="71" ht="30.75" customHeight="1" spans="1:17" x14ac:dyDescent="0.25">
      <c r="A71" s="26"/>
      <c r="B71" s="44"/>
      <c r="C71" s="45"/>
      <c r="D71" s="45"/>
      <c r="E71" s="46"/>
      <c r="F71" s="49"/>
      <c r="G71" s="44" t="s">
        <v>37</v>
      </c>
      <c r="H71" s="46"/>
      <c r="I71" s="49"/>
      <c r="J71" s="50"/>
      <c r="K71" s="50">
        <f t="shared" si="2"/>
        <v>0</v>
      </c>
      <c r="L71" s="51"/>
      <c r="M71" s="52"/>
      <c r="N71" s="51">
        <f t="shared" si="3"/>
        <v>0</v>
      </c>
      <c r="O71" s="29"/>
      <c r="P71" s="47"/>
      <c r="Q71" s="26"/>
    </row>
    <row r="72" ht="30.75" customHeight="1" spans="1:17" x14ac:dyDescent="0.25">
      <c r="A72" s="26"/>
      <c r="B72" s="44"/>
      <c r="C72" s="45"/>
      <c r="D72" s="45"/>
      <c r="E72" s="46"/>
      <c r="F72" s="49"/>
      <c r="G72" s="44" t="s">
        <v>37</v>
      </c>
      <c r="H72" s="46"/>
      <c r="I72" s="49"/>
      <c r="J72" s="50"/>
      <c r="K72" s="50">
        <f t="shared" si="2"/>
        <v>0</v>
      </c>
      <c r="L72" s="51"/>
      <c r="M72" s="52"/>
      <c r="N72" s="51">
        <f t="shared" si="3"/>
        <v>0</v>
      </c>
      <c r="O72" s="29"/>
      <c r="P72" s="47"/>
      <c r="Q72" s="26"/>
    </row>
    <row r="73" ht="30.75" customHeight="1" spans="1:17" x14ac:dyDescent="0.25">
      <c r="A73" s="26"/>
      <c r="B73" s="44"/>
      <c r="C73" s="45"/>
      <c r="D73" s="45"/>
      <c r="E73" s="46"/>
      <c r="F73" s="49"/>
      <c r="G73" s="44" t="s">
        <v>37</v>
      </c>
      <c r="H73" s="46"/>
      <c r="I73" s="49"/>
      <c r="J73" s="61"/>
      <c r="K73" s="50">
        <f t="shared" si="2"/>
        <v>0</v>
      </c>
      <c r="L73" s="38"/>
      <c r="M73" s="53"/>
      <c r="N73" s="51">
        <f t="shared" si="3"/>
        <v>0</v>
      </c>
      <c r="O73" s="29"/>
      <c r="P73" s="47"/>
      <c r="Q73" s="26"/>
    </row>
    <row r="74" ht="26.25" customHeight="1" spans="1:17" x14ac:dyDescent="0.25">
      <c r="A74" s="26"/>
      <c r="B74" s="44" t="s">
        <v>25</v>
      </c>
      <c r="C74" s="45"/>
      <c r="D74" s="45"/>
      <c r="E74" s="45"/>
      <c r="F74" s="45"/>
      <c r="G74" s="45"/>
      <c r="H74" s="45"/>
      <c r="I74" s="45"/>
      <c r="J74" s="45"/>
      <c r="K74" s="54">
        <f>SUM(K49:K73)</f>
        <v>41278</v>
      </c>
      <c r="L74" s="55"/>
      <c r="M74" s="56"/>
      <c r="N74" s="57">
        <f>SUM(N49:N73)</f>
        <v>56338</v>
      </c>
      <c r="O74" s="29"/>
      <c r="P74" s="29"/>
      <c r="Q74" s="26"/>
    </row>
    <row r="75" ht="15" customHeight="1" spans="1:17" x14ac:dyDescent="0.25">
      <c r="A75" s="26"/>
      <c r="B75" s="26"/>
      <c r="C75" s="26"/>
      <c r="D75" s="26"/>
      <c r="E75" s="27" t="s">
        <v>7</v>
      </c>
      <c r="F75" s="27"/>
      <c r="G75" s="27"/>
      <c r="H75" s="27"/>
      <c r="I75" s="27"/>
      <c r="J75" s="27"/>
      <c r="K75" s="28" t="s">
        <v>8</v>
      </c>
      <c r="L75" s="28">
        <v>3</v>
      </c>
      <c r="M75" s="28"/>
      <c r="N75" s="28"/>
      <c r="O75" s="26"/>
      <c r="P75" s="26"/>
      <c r="Q75" s="26"/>
    </row>
    <row r="76" ht="15" customHeight="1" spans="1:17" x14ac:dyDescent="0.25">
      <c r="A76" s="26"/>
      <c r="B76" s="26"/>
      <c r="C76" s="26"/>
      <c r="D76" s="26"/>
      <c r="E76" s="27"/>
      <c r="F76" s="27"/>
      <c r="G76" s="27"/>
      <c r="H76" s="27"/>
      <c r="I76" s="27"/>
      <c r="J76" s="27"/>
      <c r="K76" s="26"/>
      <c r="L76" s="26"/>
      <c r="M76" s="26"/>
      <c r="N76" s="26"/>
      <c r="O76" s="26"/>
      <c r="P76" s="26"/>
      <c r="Q76" s="26"/>
    </row>
    <row r="77" ht="15" customHeight="1" spans="1:17" x14ac:dyDescent="0.25">
      <c r="A77" s="26"/>
      <c r="B77" s="26"/>
      <c r="C77" s="26"/>
      <c r="D77" s="26"/>
      <c r="E77" s="27"/>
      <c r="F77" s="27"/>
      <c r="G77" s="27"/>
      <c r="H77" s="27"/>
      <c r="I77" s="27"/>
      <c r="J77" s="27"/>
      <c r="K77" s="26"/>
      <c r="L77" s="26"/>
      <c r="M77" s="26"/>
      <c r="N77" s="26"/>
      <c r="O77" s="26"/>
      <c r="P77" s="26"/>
      <c r="Q77" s="26"/>
    </row>
    <row r="78" ht="15" customHeight="1" spans="1:17" x14ac:dyDescent="0.25">
      <c r="A78" s="26"/>
      <c r="B78" s="26"/>
      <c r="C78" s="26"/>
      <c r="D78" s="26"/>
      <c r="E78" s="26"/>
      <c r="F78" s="26"/>
      <c r="G78" s="26"/>
      <c r="H78" s="26"/>
      <c r="I78" s="29"/>
      <c r="J78" s="29"/>
      <c r="K78" s="30" t="s">
        <v>9</v>
      </c>
      <c r="L78" s="31" t="s">
        <v>9</v>
      </c>
      <c r="M78" s="32"/>
      <c r="N78" s="30" t="s">
        <v>26</v>
      </c>
      <c r="O78" s="29"/>
      <c r="P78" s="29"/>
      <c r="Q78" s="26"/>
    </row>
    <row r="79" ht="15" customHeight="1" spans="1:17" x14ac:dyDescent="0.25">
      <c r="A79" s="26"/>
      <c r="B79" s="26" t="s">
        <v>10</v>
      </c>
      <c r="C79" s="28" t="s">
        <v>27</v>
      </c>
      <c r="D79" s="26"/>
      <c r="E79" s="26"/>
      <c r="F79" s="26"/>
      <c r="G79" s="26"/>
      <c r="H79" s="26"/>
      <c r="I79" s="29"/>
      <c r="J79" s="29"/>
      <c r="K79" s="33" t="s">
        <v>12</v>
      </c>
      <c r="L79" s="34" t="s">
        <v>11</v>
      </c>
      <c r="M79" s="35"/>
      <c r="N79" s="33"/>
      <c r="O79" s="29"/>
      <c r="P79" s="29"/>
      <c r="Q79" s="26"/>
    </row>
    <row r="80" ht="15" customHeight="1" spans="1:17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6"/>
      <c r="L80" s="37"/>
      <c r="M80" s="38"/>
      <c r="N80" s="39"/>
      <c r="O80" s="26"/>
      <c r="P80" s="26"/>
      <c r="Q80" s="26"/>
    </row>
    <row r="81" ht="15" customHeight="1" spans="1:17" x14ac:dyDescent="0.25">
      <c r="A81" s="26"/>
      <c r="B81" s="26" t="s">
        <v>13</v>
      </c>
      <c r="C81" s="28" t="s">
        <v>28</v>
      </c>
      <c r="D81" s="26"/>
      <c r="E81" s="28" t="s">
        <v>14</v>
      </c>
      <c r="F81" s="40" t="str">
        <f>F7</f>
        <v>         2026年 　 2月 28日</v>
      </c>
      <c r="G81" s="40"/>
      <c r="H81" s="26"/>
      <c r="I81" s="26"/>
      <c r="J81" s="26"/>
      <c r="K81" s="36"/>
      <c r="L81" s="36"/>
      <c r="M81" s="39"/>
      <c r="N81" s="39"/>
      <c r="O81" s="26"/>
      <c r="P81" s="26"/>
      <c r="Q81" s="26"/>
    </row>
    <row r="82" ht="15" customHeight="1" spans="1:17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6"/>
      <c r="L82" s="36"/>
      <c r="M82" s="39"/>
      <c r="N82" s="39"/>
      <c r="O82" s="26"/>
      <c r="P82" s="26"/>
      <c r="Q82" s="26"/>
    </row>
    <row r="83" ht="15" customHeight="1" spans="1:17" x14ac:dyDescent="0.25">
      <c r="A83" s="26"/>
      <c r="B83" s="26" t="s">
        <v>16</v>
      </c>
      <c r="C83" s="41" t="s">
        <v>30</v>
      </c>
      <c r="D83" s="26"/>
      <c r="E83" s="40" t="s">
        <v>31</v>
      </c>
      <c r="F83" s="28"/>
      <c r="G83" s="28"/>
      <c r="H83" s="26"/>
      <c r="I83" s="26"/>
      <c r="J83" s="26"/>
      <c r="K83" s="42"/>
      <c r="L83" s="42"/>
      <c r="M83" s="43"/>
      <c r="N83" s="43"/>
      <c r="O83" s="26"/>
      <c r="P83" s="26"/>
      <c r="Q83" s="26"/>
    </row>
    <row r="84" spans="1:17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</row>
    <row r="85" ht="24" customHeight="1" spans="1:17" x14ac:dyDescent="0.25">
      <c r="A85" s="26"/>
      <c r="B85" s="44" t="s">
        <v>19</v>
      </c>
      <c r="C85" s="45"/>
      <c r="D85" s="45"/>
      <c r="E85" s="46"/>
      <c r="F85" s="47" t="s">
        <v>20</v>
      </c>
      <c r="G85" s="44" t="s">
        <v>21</v>
      </c>
      <c r="H85" s="46"/>
      <c r="I85" s="47" t="s">
        <v>32</v>
      </c>
      <c r="J85" s="44" t="s">
        <v>22</v>
      </c>
      <c r="K85" s="44" t="s">
        <v>33</v>
      </c>
      <c r="L85" s="46"/>
      <c r="M85" s="44" t="s">
        <v>34</v>
      </c>
      <c r="N85" s="46"/>
      <c r="O85" s="29"/>
      <c r="P85" s="48" t="s">
        <v>35</v>
      </c>
      <c r="Q85" s="26"/>
    </row>
    <row r="86" ht="30.75" customHeight="1" spans="1:17" x14ac:dyDescent="0.25">
      <c r="A86" s="26"/>
      <c r="B86" s="44"/>
      <c r="C86" s="45"/>
      <c r="D86" s="45"/>
      <c r="E86" s="46"/>
      <c r="F86" s="49"/>
      <c r="G86" s="44" t="s">
        <v>37</v>
      </c>
      <c r="H86" s="46"/>
      <c r="I86" s="49"/>
      <c r="J86" s="50"/>
      <c r="K86" s="50">
        <f>F86*I86</f>
        <v>0</v>
      </c>
      <c r="L86" s="51"/>
      <c r="M86" s="45"/>
      <c r="N86" s="51">
        <f>F86*J86</f>
        <v>0</v>
      </c>
      <c r="O86" s="29"/>
      <c r="P86" s="47"/>
      <c r="Q86" s="26"/>
    </row>
    <row r="87" ht="30.75" customHeight="1" spans="1:17" x14ac:dyDescent="0.25">
      <c r="A87" s="26"/>
      <c r="B87" s="44"/>
      <c r="C87" s="45"/>
      <c r="D87" s="45"/>
      <c r="E87" s="46"/>
      <c r="F87" s="49"/>
      <c r="G87" s="44" t="s">
        <v>37</v>
      </c>
      <c r="H87" s="46"/>
      <c r="I87" s="49"/>
      <c r="J87" s="50"/>
      <c r="K87" s="50">
        <f t="shared" ref="K87:K110" si="4">F87*I87</f>
        <v>0</v>
      </c>
      <c r="L87" s="51"/>
      <c r="M87" s="52"/>
      <c r="N87" s="51">
        <f t="shared" ref="N87:N110" si="5">F87*J87</f>
        <v>0</v>
      </c>
      <c r="O87" s="29"/>
      <c r="P87" s="47"/>
      <c r="Q87" s="26"/>
    </row>
    <row r="88" ht="30.75" customHeight="1" spans="1:17" x14ac:dyDescent="0.25">
      <c r="A88" s="26"/>
      <c r="B88" s="44"/>
      <c r="C88" s="45"/>
      <c r="D88" s="45"/>
      <c r="E88" s="46"/>
      <c r="F88" s="49"/>
      <c r="G88" s="44" t="s">
        <v>37</v>
      </c>
      <c r="H88" s="46"/>
      <c r="I88" s="49"/>
      <c r="J88" s="50"/>
      <c r="K88" s="50">
        <f t="shared" si="4"/>
        <v>0</v>
      </c>
      <c r="L88" s="51"/>
      <c r="M88" s="52"/>
      <c r="N88" s="51">
        <f t="shared" si="5"/>
        <v>0</v>
      </c>
      <c r="O88" s="29"/>
      <c r="P88" s="47"/>
      <c r="Q88" s="26"/>
    </row>
    <row r="89" ht="30.75" customHeight="1" spans="1:17" x14ac:dyDescent="0.25">
      <c r="A89" s="26"/>
      <c r="B89" s="44"/>
      <c r="C89" s="45"/>
      <c r="D89" s="45"/>
      <c r="E89" s="46"/>
      <c r="F89" s="49"/>
      <c r="G89" s="44" t="s">
        <v>37</v>
      </c>
      <c r="H89" s="46"/>
      <c r="I89" s="49"/>
      <c r="J89" s="50"/>
      <c r="K89" s="50">
        <f t="shared" si="4"/>
        <v>0</v>
      </c>
      <c r="L89" s="51"/>
      <c r="M89" s="52"/>
      <c r="N89" s="51">
        <f t="shared" si="5"/>
        <v>0</v>
      </c>
      <c r="O89" s="29"/>
      <c r="P89" s="47"/>
      <c r="Q89" s="26"/>
    </row>
    <row r="90" ht="30.75" customHeight="1" spans="1:17" x14ac:dyDescent="0.25">
      <c r="A90" s="26"/>
      <c r="B90" s="44"/>
      <c r="C90" s="45"/>
      <c r="D90" s="45"/>
      <c r="E90" s="46"/>
      <c r="F90" s="49"/>
      <c r="G90" s="44" t="s">
        <v>37</v>
      </c>
      <c r="H90" s="46"/>
      <c r="I90" s="49"/>
      <c r="J90" s="50"/>
      <c r="K90" s="50">
        <f t="shared" si="4"/>
        <v>0</v>
      </c>
      <c r="L90" s="51"/>
      <c r="M90" s="52"/>
      <c r="N90" s="51">
        <f t="shared" si="5"/>
        <v>0</v>
      </c>
      <c r="O90" s="29"/>
      <c r="P90" s="47"/>
      <c r="Q90" s="26"/>
    </row>
    <row r="91" ht="30.75" customHeight="1" spans="1:17" x14ac:dyDescent="0.25">
      <c r="A91" s="26"/>
      <c r="B91" s="44"/>
      <c r="C91" s="45"/>
      <c r="D91" s="45"/>
      <c r="E91" s="46"/>
      <c r="F91" s="49"/>
      <c r="G91" s="44" t="s">
        <v>37</v>
      </c>
      <c r="H91" s="46"/>
      <c r="I91" s="49"/>
      <c r="J91" s="50"/>
      <c r="K91" s="50">
        <f t="shared" si="4"/>
        <v>0</v>
      </c>
      <c r="L91" s="51"/>
      <c r="M91" s="52"/>
      <c r="N91" s="51">
        <f t="shared" si="5"/>
        <v>0</v>
      </c>
      <c r="O91" s="29"/>
      <c r="P91" s="47"/>
      <c r="Q91" s="26"/>
    </row>
    <row r="92" ht="30.75" customHeight="1" spans="1:17" x14ac:dyDescent="0.25">
      <c r="A92" s="26"/>
      <c r="B92" s="44"/>
      <c r="C92" s="45"/>
      <c r="D92" s="45"/>
      <c r="E92" s="46"/>
      <c r="F92" s="49"/>
      <c r="G92" s="44" t="s">
        <v>37</v>
      </c>
      <c r="H92" s="46"/>
      <c r="I92" s="49"/>
      <c r="J92" s="50"/>
      <c r="K92" s="50">
        <f t="shared" si="4"/>
        <v>0</v>
      </c>
      <c r="L92" s="51"/>
      <c r="M92" s="52"/>
      <c r="N92" s="51">
        <f t="shared" si="5"/>
        <v>0</v>
      </c>
      <c r="O92" s="29"/>
      <c r="P92" s="47"/>
      <c r="Q92" s="26"/>
    </row>
    <row r="93" ht="30.75" customHeight="1" spans="1:17" x14ac:dyDescent="0.25">
      <c r="A93" s="26"/>
      <c r="B93" s="44"/>
      <c r="C93" s="45"/>
      <c r="D93" s="45"/>
      <c r="E93" s="46"/>
      <c r="F93" s="49"/>
      <c r="G93" s="44" t="s">
        <v>37</v>
      </c>
      <c r="H93" s="46"/>
      <c r="I93" s="49"/>
      <c r="J93" s="50"/>
      <c r="K93" s="50">
        <f t="shared" si="4"/>
        <v>0</v>
      </c>
      <c r="L93" s="51"/>
      <c r="M93" s="52"/>
      <c r="N93" s="51">
        <f t="shared" si="5"/>
        <v>0</v>
      </c>
      <c r="O93" s="29"/>
      <c r="P93" s="47"/>
      <c r="Q93" s="26"/>
    </row>
    <row r="94" ht="30.75" customHeight="1" spans="1:17" x14ac:dyDescent="0.25">
      <c r="A94" s="26"/>
      <c r="B94" s="44"/>
      <c r="C94" s="45"/>
      <c r="D94" s="45"/>
      <c r="E94" s="46"/>
      <c r="F94" s="49"/>
      <c r="G94" s="44" t="s">
        <v>37</v>
      </c>
      <c r="H94" s="46"/>
      <c r="I94" s="49"/>
      <c r="J94" s="50"/>
      <c r="K94" s="50">
        <f t="shared" si="4"/>
        <v>0</v>
      </c>
      <c r="L94" s="51"/>
      <c r="M94" s="52"/>
      <c r="N94" s="51">
        <f t="shared" si="5"/>
        <v>0</v>
      </c>
      <c r="O94" s="29"/>
      <c r="P94" s="47"/>
      <c r="Q94" s="26"/>
    </row>
    <row r="95" ht="30.75" customHeight="1" spans="1:17" x14ac:dyDescent="0.25">
      <c r="A95" s="26"/>
      <c r="B95" s="44"/>
      <c r="C95" s="45"/>
      <c r="D95" s="45"/>
      <c r="E95" s="46"/>
      <c r="F95" s="49"/>
      <c r="G95" s="44" t="s">
        <v>37</v>
      </c>
      <c r="H95" s="46"/>
      <c r="I95" s="49"/>
      <c r="J95" s="50"/>
      <c r="K95" s="50">
        <f t="shared" si="4"/>
        <v>0</v>
      </c>
      <c r="L95" s="51"/>
      <c r="M95" s="52"/>
      <c r="N95" s="51">
        <f t="shared" si="5"/>
        <v>0</v>
      </c>
      <c r="O95" s="29"/>
      <c r="P95" s="47"/>
      <c r="Q95" s="26"/>
    </row>
    <row r="96" ht="30.75" customHeight="1" spans="1:17" x14ac:dyDescent="0.25">
      <c r="A96" s="26"/>
      <c r="B96" s="44"/>
      <c r="C96" s="45"/>
      <c r="D96" s="45"/>
      <c r="E96" s="46"/>
      <c r="F96" s="49"/>
      <c r="G96" s="44" t="s">
        <v>37</v>
      </c>
      <c r="H96" s="46"/>
      <c r="I96" s="49"/>
      <c r="J96" s="50"/>
      <c r="K96" s="50">
        <f t="shared" si="4"/>
        <v>0</v>
      </c>
      <c r="L96" s="51"/>
      <c r="M96" s="52"/>
      <c r="N96" s="51">
        <f t="shared" si="5"/>
        <v>0</v>
      </c>
      <c r="O96" s="29"/>
      <c r="P96" s="47"/>
      <c r="Q96" s="26"/>
    </row>
    <row r="97" ht="30.75" customHeight="1" spans="1:17" x14ac:dyDescent="0.25">
      <c r="A97" s="26"/>
      <c r="B97" s="44"/>
      <c r="C97" s="45"/>
      <c r="D97" s="45"/>
      <c r="E97" s="46"/>
      <c r="F97" s="49"/>
      <c r="G97" s="44" t="s">
        <v>37</v>
      </c>
      <c r="H97" s="46"/>
      <c r="I97" s="49"/>
      <c r="J97" s="50"/>
      <c r="K97" s="50">
        <f t="shared" si="4"/>
        <v>0</v>
      </c>
      <c r="L97" s="51"/>
      <c r="M97" s="52"/>
      <c r="N97" s="51">
        <f t="shared" si="5"/>
        <v>0</v>
      </c>
      <c r="O97" s="29"/>
      <c r="P97" s="47"/>
      <c r="Q97" s="26"/>
    </row>
    <row r="98" ht="30.75" customHeight="1" spans="1:17" x14ac:dyDescent="0.25">
      <c r="A98" s="26"/>
      <c r="B98" s="44"/>
      <c r="C98" s="45"/>
      <c r="D98" s="45"/>
      <c r="E98" s="46"/>
      <c r="F98" s="49"/>
      <c r="G98" s="44" t="s">
        <v>37</v>
      </c>
      <c r="H98" s="46"/>
      <c r="I98" s="49"/>
      <c r="J98" s="50"/>
      <c r="K98" s="50">
        <f t="shared" si="4"/>
        <v>0</v>
      </c>
      <c r="L98" s="51"/>
      <c r="M98" s="52"/>
      <c r="N98" s="51">
        <f t="shared" si="5"/>
        <v>0</v>
      </c>
      <c r="O98" s="29"/>
      <c r="P98" s="47"/>
      <c r="Q98" s="26"/>
    </row>
    <row r="99" ht="30.75" customHeight="1" spans="1:17" x14ac:dyDescent="0.25">
      <c r="A99" s="26"/>
      <c r="B99" s="44"/>
      <c r="C99" s="45"/>
      <c r="D99" s="45"/>
      <c r="E99" s="46"/>
      <c r="F99" s="49"/>
      <c r="G99" s="44" t="s">
        <v>37</v>
      </c>
      <c r="H99" s="46"/>
      <c r="I99" s="49"/>
      <c r="J99" s="50"/>
      <c r="K99" s="50">
        <f t="shared" si="4"/>
        <v>0</v>
      </c>
      <c r="L99" s="51"/>
      <c r="M99" s="52"/>
      <c r="N99" s="51">
        <f t="shared" si="5"/>
        <v>0</v>
      </c>
      <c r="O99" s="29"/>
      <c r="P99" s="47"/>
      <c r="Q99" s="26"/>
    </row>
    <row r="100" ht="30.75" customHeight="1" spans="1:17" x14ac:dyDescent="0.25">
      <c r="A100" s="26"/>
      <c r="B100" s="44"/>
      <c r="C100" s="45"/>
      <c r="D100" s="45"/>
      <c r="E100" s="46"/>
      <c r="F100" s="49"/>
      <c r="G100" s="44" t="s">
        <v>37</v>
      </c>
      <c r="H100" s="46"/>
      <c r="I100" s="49"/>
      <c r="J100" s="50"/>
      <c r="K100" s="50">
        <f t="shared" si="4"/>
        <v>0</v>
      </c>
      <c r="L100" s="51"/>
      <c r="M100" s="52"/>
      <c r="N100" s="51">
        <f t="shared" si="5"/>
        <v>0</v>
      </c>
      <c r="O100" s="29"/>
      <c r="P100" s="47"/>
      <c r="Q100" s="26"/>
    </row>
    <row r="101" ht="30.75" customHeight="1" spans="1:17" x14ac:dyDescent="0.25">
      <c r="A101" s="26"/>
      <c r="B101" s="44"/>
      <c r="C101" s="45"/>
      <c r="D101" s="45"/>
      <c r="E101" s="46"/>
      <c r="F101" s="49"/>
      <c r="G101" s="44" t="s">
        <v>37</v>
      </c>
      <c r="H101" s="46"/>
      <c r="I101" s="49"/>
      <c r="J101" s="50"/>
      <c r="K101" s="50">
        <f t="shared" si="4"/>
        <v>0</v>
      </c>
      <c r="L101" s="51"/>
      <c r="M101" s="52"/>
      <c r="N101" s="51">
        <f t="shared" si="5"/>
        <v>0</v>
      </c>
      <c r="O101" s="29"/>
      <c r="P101" s="47"/>
      <c r="Q101" s="26"/>
    </row>
    <row r="102" ht="30.75" customHeight="1" spans="1:17" x14ac:dyDescent="0.25">
      <c r="A102" s="26"/>
      <c r="B102" s="44"/>
      <c r="C102" s="45"/>
      <c r="D102" s="45"/>
      <c r="E102" s="46"/>
      <c r="F102" s="49"/>
      <c r="G102" s="44" t="s">
        <v>37</v>
      </c>
      <c r="H102" s="46"/>
      <c r="I102" s="49"/>
      <c r="J102" s="50"/>
      <c r="K102" s="50">
        <f t="shared" si="4"/>
        <v>0</v>
      </c>
      <c r="L102" s="51"/>
      <c r="M102" s="52"/>
      <c r="N102" s="51">
        <f t="shared" si="5"/>
        <v>0</v>
      </c>
      <c r="O102" s="29"/>
      <c r="P102" s="47"/>
      <c r="Q102" s="26"/>
    </row>
    <row r="103" ht="30.75" customHeight="1" spans="1:17" x14ac:dyDescent="0.25">
      <c r="A103" s="26"/>
      <c r="B103" s="44"/>
      <c r="C103" s="45"/>
      <c r="D103" s="45"/>
      <c r="E103" s="46"/>
      <c r="F103" s="49"/>
      <c r="G103" s="44" t="s">
        <v>37</v>
      </c>
      <c r="H103" s="46"/>
      <c r="I103" s="49"/>
      <c r="J103" s="50"/>
      <c r="K103" s="50">
        <f t="shared" si="4"/>
        <v>0</v>
      </c>
      <c r="L103" s="51"/>
      <c r="M103" s="52"/>
      <c r="N103" s="51">
        <f t="shared" si="5"/>
        <v>0</v>
      </c>
      <c r="O103" s="29"/>
      <c r="P103" s="47"/>
      <c r="Q103" s="26"/>
    </row>
    <row r="104" ht="30.75" customHeight="1" spans="1:17" x14ac:dyDescent="0.25">
      <c r="A104" s="26"/>
      <c r="B104" s="44"/>
      <c r="C104" s="45"/>
      <c r="D104" s="45"/>
      <c r="E104" s="46"/>
      <c r="F104" s="49"/>
      <c r="G104" s="44" t="s">
        <v>37</v>
      </c>
      <c r="H104" s="46"/>
      <c r="I104" s="49"/>
      <c r="J104" s="50"/>
      <c r="K104" s="50">
        <f t="shared" si="4"/>
        <v>0</v>
      </c>
      <c r="L104" s="51"/>
      <c r="M104" s="52"/>
      <c r="N104" s="51">
        <f t="shared" si="5"/>
        <v>0</v>
      </c>
      <c r="O104" s="29"/>
      <c r="P104" s="47"/>
      <c r="Q104" s="26"/>
    </row>
    <row r="105" ht="30.75" customHeight="1" spans="1:17" x14ac:dyDescent="0.25">
      <c r="A105" s="26"/>
      <c r="B105" s="44"/>
      <c r="C105" s="45"/>
      <c r="D105" s="45"/>
      <c r="E105" s="46"/>
      <c r="F105" s="49"/>
      <c r="G105" s="44" t="s">
        <v>37</v>
      </c>
      <c r="H105" s="46"/>
      <c r="I105" s="49"/>
      <c r="J105" s="50"/>
      <c r="K105" s="50">
        <f t="shared" si="4"/>
        <v>0</v>
      </c>
      <c r="L105" s="51"/>
      <c r="M105" s="52"/>
      <c r="N105" s="51">
        <f t="shared" si="5"/>
        <v>0</v>
      </c>
      <c r="O105" s="29"/>
      <c r="P105" s="47"/>
      <c r="Q105" s="26"/>
    </row>
    <row r="106" ht="30.75" customHeight="1" spans="1:17" x14ac:dyDescent="0.25">
      <c r="A106" s="26"/>
      <c r="B106" s="44"/>
      <c r="C106" s="45"/>
      <c r="D106" s="45"/>
      <c r="E106" s="46"/>
      <c r="F106" s="49"/>
      <c r="G106" s="44" t="s">
        <v>37</v>
      </c>
      <c r="H106" s="46"/>
      <c r="I106" s="49"/>
      <c r="J106" s="50"/>
      <c r="K106" s="50">
        <f t="shared" si="4"/>
        <v>0</v>
      </c>
      <c r="L106" s="51"/>
      <c r="M106" s="52"/>
      <c r="N106" s="51">
        <f t="shared" si="5"/>
        <v>0</v>
      </c>
      <c r="O106" s="29"/>
      <c r="P106" s="47"/>
      <c r="Q106" s="26"/>
    </row>
    <row r="107" ht="30.75" customHeight="1" spans="1:17" x14ac:dyDescent="0.25">
      <c r="A107" s="26"/>
      <c r="B107" s="44"/>
      <c r="C107" s="45"/>
      <c r="D107" s="45"/>
      <c r="E107" s="46"/>
      <c r="F107" s="49"/>
      <c r="G107" s="44" t="s">
        <v>37</v>
      </c>
      <c r="H107" s="46"/>
      <c r="I107" s="49"/>
      <c r="J107" s="50"/>
      <c r="K107" s="50">
        <f t="shared" si="4"/>
        <v>0</v>
      </c>
      <c r="L107" s="51"/>
      <c r="M107" s="52"/>
      <c r="N107" s="51">
        <f t="shared" si="5"/>
        <v>0</v>
      </c>
      <c r="O107" s="29"/>
      <c r="P107" s="47"/>
      <c r="Q107" s="26"/>
    </row>
    <row r="108" ht="30.75" customHeight="1" spans="1:17" x14ac:dyDescent="0.25">
      <c r="A108" s="26"/>
      <c r="B108" s="44"/>
      <c r="C108" s="45"/>
      <c r="D108" s="45"/>
      <c r="E108" s="46"/>
      <c r="F108" s="49"/>
      <c r="G108" s="44" t="s">
        <v>37</v>
      </c>
      <c r="H108" s="46"/>
      <c r="I108" s="49"/>
      <c r="J108" s="50"/>
      <c r="K108" s="50">
        <f t="shared" si="4"/>
        <v>0</v>
      </c>
      <c r="L108" s="51"/>
      <c r="M108" s="52"/>
      <c r="N108" s="51">
        <f t="shared" si="5"/>
        <v>0</v>
      </c>
      <c r="O108" s="29"/>
      <c r="P108" s="47"/>
      <c r="Q108" s="26"/>
    </row>
    <row r="109" ht="30.75" customHeight="1" spans="1:17" x14ac:dyDescent="0.25">
      <c r="A109" s="26"/>
      <c r="B109" s="44"/>
      <c r="C109" s="45"/>
      <c r="D109" s="45"/>
      <c r="E109" s="46"/>
      <c r="F109" s="49"/>
      <c r="G109" s="44" t="s">
        <v>37</v>
      </c>
      <c r="H109" s="46"/>
      <c r="I109" s="49"/>
      <c r="J109" s="50"/>
      <c r="K109" s="50">
        <f t="shared" si="4"/>
        <v>0</v>
      </c>
      <c r="L109" s="51"/>
      <c r="M109" s="52"/>
      <c r="N109" s="51">
        <f t="shared" si="5"/>
        <v>0</v>
      </c>
      <c r="O109" s="29"/>
      <c r="P109" s="47"/>
      <c r="Q109" s="26"/>
    </row>
    <row r="110" ht="30.75" customHeight="1" spans="1:17" x14ac:dyDescent="0.25">
      <c r="A110" s="26"/>
      <c r="B110" s="44"/>
      <c r="C110" s="45"/>
      <c r="D110" s="45"/>
      <c r="E110" s="46"/>
      <c r="F110" s="49"/>
      <c r="G110" s="44" t="s">
        <v>37</v>
      </c>
      <c r="H110" s="46"/>
      <c r="I110" s="49"/>
      <c r="J110" s="50"/>
      <c r="K110" s="50">
        <f t="shared" si="4"/>
        <v>0</v>
      </c>
      <c r="L110" s="38"/>
      <c r="M110" s="53"/>
      <c r="N110" s="51">
        <f t="shared" si="5"/>
        <v>0</v>
      </c>
      <c r="O110" s="29"/>
      <c r="P110" s="47"/>
      <c r="Q110" s="26"/>
    </row>
    <row r="111" ht="26.25" customHeight="1" spans="1:17" x14ac:dyDescent="0.25">
      <c r="A111" s="26"/>
      <c r="B111" s="44" t="s">
        <v>25</v>
      </c>
      <c r="C111" s="45"/>
      <c r="D111" s="45"/>
      <c r="E111" s="45"/>
      <c r="F111" s="45"/>
      <c r="G111" s="45"/>
      <c r="H111" s="45"/>
      <c r="I111" s="45"/>
      <c r="J111" s="45"/>
      <c r="K111" s="54">
        <f>SUM(K86:K110)</f>
        <v>0</v>
      </c>
      <c r="L111" s="55"/>
      <c r="M111" s="56"/>
      <c r="N111" s="57">
        <f>SUM(N86:N110)</f>
        <v>0</v>
      </c>
      <c r="O111" s="29"/>
      <c r="P111" s="29"/>
      <c r="Q111" s="26"/>
    </row>
  </sheetData>
  <mergeCells count="183">
    <mergeCell ref="E1:J3"/>
    <mergeCell ref="L4:M4"/>
    <mergeCell ref="L5:M5"/>
    <mergeCell ref="N4:N5"/>
    <mergeCell ref="F7:G7"/>
    <mergeCell ref="B11:E11"/>
    <mergeCell ref="G11:H11"/>
    <mergeCell ref="K11:L11"/>
    <mergeCell ref="M11:N11"/>
    <mergeCell ref="B12:E12"/>
    <mergeCell ref="G12:H12"/>
    <mergeCell ref="B13:E13"/>
    <mergeCell ref="G13:H13"/>
    <mergeCell ref="B14:E14"/>
    <mergeCell ref="G14:H14"/>
    <mergeCell ref="B15:E15"/>
    <mergeCell ref="G15:H15"/>
    <mergeCell ref="B16:E16"/>
    <mergeCell ref="G16:H16"/>
    <mergeCell ref="B17:E17"/>
    <mergeCell ref="G17:H17"/>
    <mergeCell ref="B18:E18"/>
    <mergeCell ref="G18:H18"/>
    <mergeCell ref="B19:E19"/>
    <mergeCell ref="G19:H19"/>
    <mergeCell ref="B20:E20"/>
    <mergeCell ref="G20:H20"/>
    <mergeCell ref="B21:E21"/>
    <mergeCell ref="G21:H21"/>
    <mergeCell ref="B22:E22"/>
    <mergeCell ref="G22:H22"/>
    <mergeCell ref="B23:E23"/>
    <mergeCell ref="G23:H23"/>
    <mergeCell ref="B24:E24"/>
    <mergeCell ref="G24:H24"/>
    <mergeCell ref="B25:E25"/>
    <mergeCell ref="G25:H25"/>
    <mergeCell ref="B26:E26"/>
    <mergeCell ref="G26:H26"/>
    <mergeCell ref="B27:E27"/>
    <mergeCell ref="G27:H27"/>
    <mergeCell ref="B28:E28"/>
    <mergeCell ref="G28:H28"/>
    <mergeCell ref="B29:E29"/>
    <mergeCell ref="G29:H29"/>
    <mergeCell ref="B30:E30"/>
    <mergeCell ref="G30:H30"/>
    <mergeCell ref="B31:E31"/>
    <mergeCell ref="G31:H31"/>
    <mergeCell ref="B32:E32"/>
    <mergeCell ref="G32:H32"/>
    <mergeCell ref="B33:E33"/>
    <mergeCell ref="G33:H33"/>
    <mergeCell ref="B34:E34"/>
    <mergeCell ref="G34:H34"/>
    <mergeCell ref="B35:E35"/>
    <mergeCell ref="G35:H35"/>
    <mergeCell ref="B36:E36"/>
    <mergeCell ref="G36:H36"/>
    <mergeCell ref="B37:I37"/>
    <mergeCell ref="K37:L37"/>
    <mergeCell ref="E38:J40"/>
    <mergeCell ref="L41:M41"/>
    <mergeCell ref="L42:M42"/>
    <mergeCell ref="N41:N42"/>
    <mergeCell ref="F44:G44"/>
    <mergeCell ref="B48:E48"/>
    <mergeCell ref="G48:H48"/>
    <mergeCell ref="K48:L48"/>
    <mergeCell ref="M48:N48"/>
    <mergeCell ref="B49:E49"/>
    <mergeCell ref="G49:H49"/>
    <mergeCell ref="B50:E50"/>
    <mergeCell ref="G50:H50"/>
    <mergeCell ref="B51:E51"/>
    <mergeCell ref="G51:H51"/>
    <mergeCell ref="B52:E52"/>
    <mergeCell ref="G52:H52"/>
    <mergeCell ref="B53:E53"/>
    <mergeCell ref="G53:H53"/>
    <mergeCell ref="B54:E54"/>
    <mergeCell ref="G54:H54"/>
    <mergeCell ref="B55:E55"/>
    <mergeCell ref="G55:H55"/>
    <mergeCell ref="B56:E56"/>
    <mergeCell ref="G56:H56"/>
    <mergeCell ref="B57:E57"/>
    <mergeCell ref="G57:H57"/>
    <mergeCell ref="B58:E58"/>
    <mergeCell ref="G58:H58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B68:E68"/>
    <mergeCell ref="G68:H68"/>
    <mergeCell ref="B69:E69"/>
    <mergeCell ref="G69:H69"/>
    <mergeCell ref="B70:E70"/>
    <mergeCell ref="G70:H70"/>
    <mergeCell ref="B71:E71"/>
    <mergeCell ref="G71:H71"/>
    <mergeCell ref="B72:E72"/>
    <mergeCell ref="G72:H72"/>
    <mergeCell ref="B73:E73"/>
    <mergeCell ref="G73:H73"/>
    <mergeCell ref="B74:I74"/>
    <mergeCell ref="K74:L74"/>
    <mergeCell ref="E75:J77"/>
    <mergeCell ref="L78:M78"/>
    <mergeCell ref="L79:M79"/>
    <mergeCell ref="N78:N79"/>
    <mergeCell ref="F81:G81"/>
    <mergeCell ref="B85:E85"/>
    <mergeCell ref="G85:H85"/>
    <mergeCell ref="K85:L85"/>
    <mergeCell ref="M85:N85"/>
    <mergeCell ref="B86:E86"/>
    <mergeCell ref="G86:H86"/>
    <mergeCell ref="B87:E87"/>
    <mergeCell ref="G87:H87"/>
    <mergeCell ref="B88:E88"/>
    <mergeCell ref="G88:H88"/>
    <mergeCell ref="B89:E89"/>
    <mergeCell ref="G89:H89"/>
    <mergeCell ref="B90:E90"/>
    <mergeCell ref="G90:H90"/>
    <mergeCell ref="B91:E91"/>
    <mergeCell ref="G91:H91"/>
    <mergeCell ref="B92:E92"/>
    <mergeCell ref="G92:H92"/>
    <mergeCell ref="B93:E93"/>
    <mergeCell ref="G93:H93"/>
    <mergeCell ref="B94:E94"/>
    <mergeCell ref="G94:H94"/>
    <mergeCell ref="B95:E95"/>
    <mergeCell ref="G95:H95"/>
    <mergeCell ref="B96:E96"/>
    <mergeCell ref="G96:H96"/>
    <mergeCell ref="B97:E97"/>
    <mergeCell ref="G97:H97"/>
    <mergeCell ref="B98:E98"/>
    <mergeCell ref="G98:H98"/>
    <mergeCell ref="B99:E99"/>
    <mergeCell ref="G99:H99"/>
    <mergeCell ref="B100:E100"/>
    <mergeCell ref="G100:H100"/>
    <mergeCell ref="B101:E101"/>
    <mergeCell ref="G101:H101"/>
    <mergeCell ref="B102:E102"/>
    <mergeCell ref="G102:H102"/>
    <mergeCell ref="B103:E103"/>
    <mergeCell ref="G103:H103"/>
    <mergeCell ref="B104:E104"/>
    <mergeCell ref="G104:H104"/>
    <mergeCell ref="B105:E105"/>
    <mergeCell ref="G105:H105"/>
    <mergeCell ref="B106:E106"/>
    <mergeCell ref="G106:H106"/>
    <mergeCell ref="B107:E107"/>
    <mergeCell ref="G107:H107"/>
    <mergeCell ref="B108:E108"/>
    <mergeCell ref="G108:H108"/>
    <mergeCell ref="B109:E109"/>
    <mergeCell ref="G109:H109"/>
    <mergeCell ref="B110:E110"/>
    <mergeCell ref="G110:H110"/>
    <mergeCell ref="B111:I111"/>
    <mergeCell ref="K111:L111"/>
  </mergeCells>
  <pageMargins left="0.1968503937007874" right="0.1968503937007874" top="0.7480314960629921" bottom="0.7480314960629921" header="0.31496062992125984" footer="0.31496062992125984"/>
  <pageSetup paperSize="9" orientation="portrait" horizontalDpi="4294967295" verticalDpi="4294967295" scale="83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"/>
  <sheetViews>
    <sheetView workbookViewId="0" zoomScale="60" zoomScaleNormal="75" view="pageBreakPreview">
      <selection activeCell="J24" sqref="J24"/>
    </sheetView>
  </sheetViews>
  <sheetFormatPr defaultRowHeight="13.5" outlineLevelRow="0" outlineLevelCol="0" x14ac:dyDescent="0.1" defaultColWidth="8.99609375" customHeight="1"/>
  <cols>
    <col min="1" max="1" width="1.2265625" style="25" customWidth="1"/>
    <col min="2" max="2" width="7.90625" style="25" customWidth="1"/>
    <col min="3" max="3" width="13.36328125" style="25" customWidth="1"/>
    <col min="4" max="4" width="2.31640625" style="25" customWidth="1"/>
    <col min="5" max="5" width="8.04296875" style="25" customWidth="1"/>
    <col min="6" max="6" width="9.1328125" style="25" customWidth="1"/>
    <col min="7" max="7" width="15.40625" style="25" customWidth="1"/>
    <col min="8" max="8" width="1.36328125" style="25" customWidth="1"/>
    <col min="9" max="10" width="11.58984375" style="25" customWidth="1"/>
    <col min="11" max="11" width="10.2265625" style="25" customWidth="1"/>
    <col min="12" max="13" width="5.58984375" style="25" customWidth="1"/>
    <col min="14" max="14" width="10.2265625" style="25" customWidth="1"/>
    <col min="15" max="15" width="1.08984375" style="25" customWidth="1"/>
    <col min="16" max="16" width="4.90625" style="25" customWidth="1"/>
    <col min="17" max="17" width="0.953125" style="25" customWidth="1"/>
    <col min="18" max="16384" width="8.99609375" style="25" customWidth="1"/>
  </cols>
  <sheetData>
    <row r="1" ht="15" customHeight="1" spans="1:20" x14ac:dyDescent="0.25">
      <c r="A1" s="26"/>
      <c r="B1" s="26"/>
      <c r="C1" s="26"/>
      <c r="D1" s="26"/>
      <c r="E1" s="27" t="s">
        <v>7</v>
      </c>
      <c r="F1" s="27"/>
      <c r="G1" s="27"/>
      <c r="H1" s="27"/>
      <c r="I1" s="27"/>
      <c r="J1" s="27"/>
      <c r="K1" s="28" t="s">
        <v>8</v>
      </c>
      <c r="L1" s="28">
        <v>1</v>
      </c>
      <c r="M1" s="28"/>
      <c r="N1" s="28"/>
      <c r="O1" s="26"/>
      <c r="P1" s="26"/>
      <c r="Q1" s="26"/>
      <c r="R1" s="25"/>
      <c r="S1" s="25"/>
      <c r="T1" s="25"/>
    </row>
    <row r="2" ht="15" customHeight="1" spans="1:20" x14ac:dyDescent="0.25">
      <c r="A2" s="26"/>
      <c r="B2" s="26"/>
      <c r="C2" s="26"/>
      <c r="D2" s="26"/>
      <c r="E2" s="27"/>
      <c r="F2" s="27"/>
      <c r="G2" s="27"/>
      <c r="H2" s="27"/>
      <c r="I2" s="27"/>
      <c r="J2" s="27"/>
      <c r="K2" s="26"/>
      <c r="L2" s="26"/>
      <c r="M2" s="26"/>
      <c r="N2" s="26"/>
      <c r="O2" s="26"/>
      <c r="P2" s="26"/>
      <c r="Q2" s="26"/>
      <c r="R2" s="25"/>
      <c r="S2" s="25"/>
      <c r="T2" s="25"/>
    </row>
    <row r="3" ht="15" customHeight="1" spans="1:20" x14ac:dyDescent="0.25">
      <c r="A3" s="26"/>
      <c r="B3" s="26"/>
      <c r="C3" s="26"/>
      <c r="D3" s="26"/>
      <c r="E3" s="27"/>
      <c r="F3" s="27"/>
      <c r="G3" s="27"/>
      <c r="H3" s="27"/>
      <c r="I3" s="27"/>
      <c r="J3" s="27"/>
      <c r="K3" s="26"/>
      <c r="L3" s="26"/>
      <c r="M3" s="26"/>
      <c r="N3" s="26"/>
      <c r="O3" s="26"/>
      <c r="P3" s="26"/>
      <c r="Q3" s="26"/>
      <c r="R3" s="25"/>
      <c r="S3" s="25"/>
      <c r="T3" s="25"/>
    </row>
    <row r="4" ht="15" customHeight="1" spans="1:20" x14ac:dyDescent="0.25">
      <c r="A4" s="26"/>
      <c r="B4" s="26"/>
      <c r="C4" s="26"/>
      <c r="D4" s="26"/>
      <c r="E4" s="26"/>
      <c r="F4" s="26"/>
      <c r="G4" s="26"/>
      <c r="H4" s="26"/>
      <c r="I4" s="29"/>
      <c r="J4" s="29"/>
      <c r="K4" s="30" t="s">
        <v>9</v>
      </c>
      <c r="L4" s="31" t="s">
        <v>9</v>
      </c>
      <c r="M4" s="32"/>
      <c r="N4" s="30" t="s">
        <v>26</v>
      </c>
      <c r="O4" s="29"/>
      <c r="P4" s="29"/>
      <c r="Q4" s="26"/>
      <c r="R4" s="25"/>
      <c r="S4" s="25"/>
      <c r="T4" s="25"/>
    </row>
    <row r="5" ht="15" customHeight="1" spans="1:20" x14ac:dyDescent="0.25">
      <c r="A5" s="26"/>
      <c r="B5" s="26" t="s">
        <v>10</v>
      </c>
      <c r="C5" s="28" t="s">
        <v>27</v>
      </c>
      <c r="D5" s="26"/>
      <c r="E5" s="26"/>
      <c r="F5" s="26"/>
      <c r="G5" s="26"/>
      <c r="H5" s="26"/>
      <c r="I5" s="29"/>
      <c r="J5" s="29"/>
      <c r="K5" s="33" t="s">
        <v>12</v>
      </c>
      <c r="L5" s="34" t="s">
        <v>11</v>
      </c>
      <c r="M5" s="35"/>
      <c r="N5" s="33"/>
      <c r="O5" s="29"/>
      <c r="P5" s="29"/>
      <c r="Q5" s="26"/>
      <c r="R5" s="25"/>
      <c r="S5" s="25"/>
      <c r="T5" s="25"/>
    </row>
    <row r="6" ht="15" customHeight="1" spans="1:20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36"/>
      <c r="L6" s="37"/>
      <c r="M6" s="38"/>
      <c r="N6" s="39"/>
      <c r="O6" s="26"/>
      <c r="P6" s="26"/>
      <c r="Q6" s="26"/>
      <c r="R6" s="25"/>
      <c r="S6" s="25"/>
      <c r="T6" s="25"/>
    </row>
    <row r="7" ht="15" customHeight="1" spans="1:20" x14ac:dyDescent="0.25">
      <c r="A7" s="26"/>
      <c r="B7" s="26" t="s">
        <v>13</v>
      </c>
      <c r="C7" s="28" t="s">
        <v>78</v>
      </c>
      <c r="D7" s="26"/>
      <c r="E7" s="28" t="s">
        <v>14</v>
      </c>
      <c r="F7" s="40" t="s">
        <v>79</v>
      </c>
      <c r="G7" s="40"/>
      <c r="H7" s="26"/>
      <c r="I7" s="26"/>
      <c r="J7" s="26"/>
      <c r="K7" s="36"/>
      <c r="L7" s="36"/>
      <c r="M7" s="39"/>
      <c r="N7" s="39"/>
      <c r="O7" s="26"/>
      <c r="P7" s="26"/>
      <c r="Q7" s="26"/>
      <c r="R7" s="25"/>
      <c r="S7" s="25"/>
      <c r="T7" s="25"/>
    </row>
    <row r="8" ht="15" customHeight="1" spans="1:20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36"/>
      <c r="L8" s="36"/>
      <c r="M8" s="39"/>
      <c r="N8" s="39"/>
      <c r="O8" s="26"/>
      <c r="P8" s="26"/>
      <c r="Q8" s="26"/>
      <c r="R8" s="25"/>
      <c r="S8" s="25"/>
      <c r="T8" s="25"/>
    </row>
    <row r="9" ht="15" customHeight="1" spans="1:20" x14ac:dyDescent="0.25">
      <c r="A9" s="26"/>
      <c r="B9" s="26" t="s">
        <v>16</v>
      </c>
      <c r="C9" s="41" t="s">
        <v>30</v>
      </c>
      <c r="D9" s="26"/>
      <c r="E9" s="40" t="s">
        <v>31</v>
      </c>
      <c r="F9" s="28"/>
      <c r="G9" s="28"/>
      <c r="H9" s="26"/>
      <c r="I9" s="26"/>
      <c r="J9" s="26"/>
      <c r="K9" s="42"/>
      <c r="L9" s="42"/>
      <c r="M9" s="43"/>
      <c r="N9" s="43"/>
      <c r="O9" s="26"/>
      <c r="P9" s="26"/>
      <c r="Q9" s="26"/>
      <c r="R9" s="25"/>
      <c r="S9" s="25"/>
      <c r="T9" s="25"/>
    </row>
    <row r="10" spans="1:20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5"/>
      <c r="S10" s="25"/>
      <c r="T10" s="25"/>
    </row>
    <row r="11" ht="24" customHeight="1" spans="1:20" x14ac:dyDescent="0.25">
      <c r="A11" s="26"/>
      <c r="B11" s="44" t="s">
        <v>19</v>
      </c>
      <c r="C11" s="45"/>
      <c r="D11" s="45"/>
      <c r="E11" s="46"/>
      <c r="F11" s="47" t="s">
        <v>20</v>
      </c>
      <c r="G11" s="44" t="s">
        <v>21</v>
      </c>
      <c r="H11" s="46"/>
      <c r="I11" s="47" t="s">
        <v>32</v>
      </c>
      <c r="J11" s="44" t="s">
        <v>22</v>
      </c>
      <c r="K11" s="44" t="s">
        <v>33</v>
      </c>
      <c r="L11" s="46"/>
      <c r="M11" s="44" t="s">
        <v>34</v>
      </c>
      <c r="N11" s="46"/>
      <c r="O11" s="29"/>
      <c r="P11" s="48" t="s">
        <v>35</v>
      </c>
      <c r="Q11" s="26"/>
      <c r="R11" s="25"/>
      <c r="S11" s="25"/>
      <c r="T11" s="25"/>
    </row>
    <row r="12" ht="30.75" customHeight="1" spans="1:20" x14ac:dyDescent="0.25">
      <c r="A12" s="26"/>
      <c r="B12" s="44" t="s">
        <v>80</v>
      </c>
      <c r="C12" s="45"/>
      <c r="D12" s="45"/>
      <c r="E12" s="46"/>
      <c r="F12" s="49">
        <v>5</v>
      </c>
      <c r="G12" s="44" t="s">
        <v>37</v>
      </c>
      <c r="H12" s="46"/>
      <c r="I12" s="49">
        <v>4800</v>
      </c>
      <c r="J12" s="50">
        <v>6500</v>
      </c>
      <c r="K12" s="50">
        <f>F12*I12</f>
        <v>24000</v>
      </c>
      <c r="L12" s="51"/>
      <c r="M12" s="45"/>
      <c r="N12" s="51">
        <f>F12*J12</f>
        <v>32500</v>
      </c>
      <c r="O12" s="29"/>
      <c r="P12" s="47"/>
      <c r="Q12" s="26"/>
      <c r="R12" s="25"/>
      <c r="S12" s="25"/>
      <c r="T12" s="25"/>
    </row>
    <row r="13" ht="30.75" customHeight="1" spans="1:20" x14ac:dyDescent="0.25">
      <c r="A13" s="26"/>
      <c r="B13" s="44" t="s">
        <v>81</v>
      </c>
      <c r="C13" s="45"/>
      <c r="D13" s="45"/>
      <c r="E13" s="46"/>
      <c r="F13" s="49">
        <v>10</v>
      </c>
      <c r="G13" s="44" t="s">
        <v>37</v>
      </c>
      <c r="H13" s="46"/>
      <c r="I13" s="49">
        <v>6500</v>
      </c>
      <c r="J13" s="50">
        <v>9500</v>
      </c>
      <c r="K13" s="50">
        <f t="shared" ref="K13:K36" si="0">F13*I13</f>
        <v>65000</v>
      </c>
      <c r="L13" s="51"/>
      <c r="M13" s="52"/>
      <c r="N13" s="51">
        <f t="shared" ref="N13:N36" si="1">F13*J13</f>
        <v>95000</v>
      </c>
      <c r="O13" s="29"/>
      <c r="P13" s="47"/>
      <c r="Q13" s="26"/>
      <c r="R13" s="25"/>
      <c r="S13" s="25"/>
      <c r="T13" s="25"/>
    </row>
    <row r="14" ht="30.75" customHeight="1" spans="1:20" x14ac:dyDescent="0.25">
      <c r="A14" s="26"/>
      <c r="B14" s="44" t="s">
        <v>82</v>
      </c>
      <c r="C14" s="45"/>
      <c r="D14" s="45"/>
      <c r="E14" s="46"/>
      <c r="F14" s="49">
        <v>64</v>
      </c>
      <c r="G14" s="44" t="s">
        <v>37</v>
      </c>
      <c r="H14" s="46"/>
      <c r="I14" s="49">
        <v>407</v>
      </c>
      <c r="J14" s="50">
        <v>599</v>
      </c>
      <c r="K14" s="50">
        <f t="shared" si="0"/>
        <v>26048</v>
      </c>
      <c r="L14" s="51"/>
      <c r="M14" s="52"/>
      <c r="N14" s="51">
        <f t="shared" si="1"/>
        <v>38336</v>
      </c>
      <c r="O14" s="29"/>
      <c r="P14" s="47"/>
      <c r="Q14" s="26"/>
      <c r="R14" s="25"/>
      <c r="S14" s="25"/>
      <c r="T14" s="25"/>
    </row>
    <row r="15" ht="30.75" customHeight="1" spans="1:20" x14ac:dyDescent="0.25">
      <c r="A15" s="26"/>
      <c r="B15" s="44" t="s">
        <v>83</v>
      </c>
      <c r="C15" s="45"/>
      <c r="D15" s="45"/>
      <c r="E15" s="46"/>
      <c r="F15" s="49">
        <v>6</v>
      </c>
      <c r="G15" s="44" t="s">
        <v>37</v>
      </c>
      <c r="H15" s="46"/>
      <c r="I15" s="49">
        <v>735</v>
      </c>
      <c r="J15" s="50">
        <v>990</v>
      </c>
      <c r="K15" s="50">
        <f t="shared" si="0"/>
        <v>4410</v>
      </c>
      <c r="L15" s="51"/>
      <c r="M15" s="52"/>
      <c r="N15" s="51">
        <f>F15*J15</f>
        <v>5940</v>
      </c>
      <c r="O15" s="29"/>
      <c r="P15" s="47"/>
      <c r="Q15" s="26"/>
      <c r="R15" s="25"/>
      <c r="S15" s="25"/>
      <c r="T15" s="25"/>
    </row>
    <row r="16" ht="30.75" customHeight="1" spans="1:20" x14ac:dyDescent="0.25">
      <c r="A16" s="26"/>
      <c r="B16" s="44" t="s">
        <v>84</v>
      </c>
      <c r="C16" s="45"/>
      <c r="D16" s="45"/>
      <c r="E16" s="46"/>
      <c r="F16" s="49">
        <v>18</v>
      </c>
      <c r="G16" s="44" t="s">
        <v>37</v>
      </c>
      <c r="H16" s="46"/>
      <c r="I16" s="49">
        <v>450</v>
      </c>
      <c r="J16" s="50">
        <v>499</v>
      </c>
      <c r="K16" s="50">
        <f t="shared" si="0"/>
        <v>8100</v>
      </c>
      <c r="L16" s="51"/>
      <c r="M16" s="52"/>
      <c r="N16" s="51">
        <f t="shared" si="1"/>
        <v>8982</v>
      </c>
      <c r="O16" s="29"/>
      <c r="P16" s="47"/>
      <c r="Q16" s="26"/>
      <c r="R16" s="25"/>
      <c r="S16" s="25"/>
      <c r="T16" s="25"/>
    </row>
    <row r="17" ht="30.75" customHeight="1" spans="1:20" x14ac:dyDescent="0.25">
      <c r="A17" s="26"/>
      <c r="B17" s="44" t="s">
        <v>85</v>
      </c>
      <c r="C17" s="45"/>
      <c r="D17" s="45"/>
      <c r="E17" s="46"/>
      <c r="F17" s="49">
        <v>30</v>
      </c>
      <c r="G17" s="44" t="s">
        <v>37</v>
      </c>
      <c r="H17" s="46"/>
      <c r="I17" s="49">
        <v>390</v>
      </c>
      <c r="J17" s="50">
        <v>499</v>
      </c>
      <c r="K17" s="50">
        <f t="shared" si="0"/>
        <v>11700</v>
      </c>
      <c r="L17" s="51"/>
      <c r="M17" s="52"/>
      <c r="N17" s="51">
        <f t="shared" si="1"/>
        <v>14970</v>
      </c>
      <c r="O17" s="29"/>
      <c r="P17" s="47"/>
      <c r="Q17" s="26"/>
      <c r="R17" s="25"/>
      <c r="S17" s="25"/>
      <c r="T17" s="25"/>
    </row>
    <row r="18" ht="30.75" customHeight="1" spans="1:20" x14ac:dyDescent="0.25">
      <c r="A18" s="26"/>
      <c r="B18" s="44" t="s">
        <v>86</v>
      </c>
      <c r="C18" s="45"/>
      <c r="D18" s="45"/>
      <c r="E18" s="46"/>
      <c r="F18" s="49">
        <v>20</v>
      </c>
      <c r="G18" s="44" t="s">
        <v>37</v>
      </c>
      <c r="H18" s="46"/>
      <c r="I18" s="49">
        <v>450</v>
      </c>
      <c r="J18" s="50">
        <v>599</v>
      </c>
      <c r="K18" s="50">
        <f t="shared" si="0"/>
        <v>9000</v>
      </c>
      <c r="L18" s="51"/>
      <c r="M18" s="52"/>
      <c r="N18" s="51">
        <f t="shared" si="1"/>
        <v>11980</v>
      </c>
      <c r="O18" s="29"/>
      <c r="P18" s="47"/>
      <c r="Q18" s="26"/>
      <c r="R18" s="25"/>
      <c r="S18" s="25"/>
      <c r="T18" s="25"/>
    </row>
    <row r="19" ht="30.75" customHeight="1" spans="1:20" x14ac:dyDescent="0.25">
      <c r="A19" s="26"/>
      <c r="B19" s="44" t="s">
        <v>87</v>
      </c>
      <c r="C19" s="45"/>
      <c r="D19" s="45"/>
      <c r="E19" s="46"/>
      <c r="F19" s="49">
        <v>6</v>
      </c>
      <c r="G19" s="44" t="s">
        <v>37</v>
      </c>
      <c r="H19" s="46"/>
      <c r="I19" s="49">
        <v>635</v>
      </c>
      <c r="J19" s="50">
        <v>799</v>
      </c>
      <c r="K19" s="50">
        <f t="shared" si="0"/>
        <v>3810</v>
      </c>
      <c r="L19" s="51"/>
      <c r="M19" s="52"/>
      <c r="N19" s="51">
        <f t="shared" si="1"/>
        <v>4794</v>
      </c>
      <c r="O19" s="29"/>
      <c r="P19" s="47"/>
      <c r="Q19" s="26"/>
      <c r="R19" s="25"/>
      <c r="S19" s="25"/>
      <c r="T19" s="25"/>
    </row>
    <row r="20" ht="30.75" customHeight="1" spans="1:20" x14ac:dyDescent="0.25">
      <c r="A20" s="26"/>
      <c r="B20" s="44" t="s">
        <v>88</v>
      </c>
      <c r="C20" s="45"/>
      <c r="D20" s="45"/>
      <c r="E20" s="46"/>
      <c r="F20" s="49">
        <v>9</v>
      </c>
      <c r="G20" s="44" t="s">
        <v>37</v>
      </c>
      <c r="H20" s="46"/>
      <c r="I20" s="49">
        <v>450</v>
      </c>
      <c r="J20" s="50">
        <v>599</v>
      </c>
      <c r="K20" s="50">
        <f t="shared" si="0"/>
        <v>4050</v>
      </c>
      <c r="L20" s="51"/>
      <c r="M20" s="52"/>
      <c r="N20" s="51">
        <f t="shared" si="1"/>
        <v>5391</v>
      </c>
      <c r="O20" s="29"/>
      <c r="P20" s="47"/>
      <c r="Q20" s="26"/>
      <c r="R20" s="25"/>
      <c r="S20" s="25"/>
      <c r="T20" s="25"/>
    </row>
    <row r="21" ht="30.75" customHeight="1" spans="1:20" x14ac:dyDescent="0.25">
      <c r="A21" s="26"/>
      <c r="B21" s="44" t="s">
        <v>89</v>
      </c>
      <c r="C21" s="45"/>
      <c r="D21" s="45"/>
      <c r="E21" s="46"/>
      <c r="F21" s="49">
        <v>5</v>
      </c>
      <c r="G21" s="44" t="s">
        <v>37</v>
      </c>
      <c r="H21" s="46"/>
      <c r="I21" s="49">
        <v>450</v>
      </c>
      <c r="J21" s="50">
        <v>599</v>
      </c>
      <c r="K21" s="50">
        <f t="shared" si="0"/>
        <v>2250</v>
      </c>
      <c r="L21" s="51"/>
      <c r="M21" s="52"/>
      <c r="N21" s="51">
        <f t="shared" si="1"/>
        <v>2995</v>
      </c>
      <c r="O21" s="29"/>
      <c r="P21" s="47"/>
      <c r="Q21" s="26"/>
      <c r="R21" s="25"/>
      <c r="S21" s="25"/>
      <c r="T21" s="25"/>
    </row>
    <row r="22" ht="30.75" customHeight="1" spans="1:20" x14ac:dyDescent="0.25">
      <c r="A22" s="26"/>
      <c r="B22" s="44" t="s">
        <v>90</v>
      </c>
      <c r="C22" s="45"/>
      <c r="D22" s="45"/>
      <c r="E22" s="46"/>
      <c r="F22" s="49">
        <v>36</v>
      </c>
      <c r="G22" s="44" t="s">
        <v>37</v>
      </c>
      <c r="H22" s="46"/>
      <c r="I22" s="49">
        <v>475</v>
      </c>
      <c r="J22" s="50">
        <v>599</v>
      </c>
      <c r="K22" s="50">
        <f t="shared" si="0"/>
        <v>17100</v>
      </c>
      <c r="L22" s="51"/>
      <c r="M22" s="52"/>
      <c r="N22" s="51">
        <f t="shared" si="1"/>
        <v>21564</v>
      </c>
      <c r="O22" s="29"/>
      <c r="P22" s="47"/>
      <c r="Q22" s="26"/>
      <c r="R22" s="25"/>
      <c r="S22" s="25"/>
      <c r="T22" s="25"/>
    </row>
    <row r="23" ht="30.75" customHeight="1" spans="1:20" x14ac:dyDescent="0.25">
      <c r="A23" s="26"/>
      <c r="B23" s="44" t="s">
        <v>91</v>
      </c>
      <c r="C23" s="45"/>
      <c r="D23" s="45"/>
      <c r="E23" s="46"/>
      <c r="F23" s="49">
        <v>1</v>
      </c>
      <c r="G23" s="44" t="s">
        <v>37</v>
      </c>
      <c r="H23" s="46"/>
      <c r="I23" s="49">
        <v>5800</v>
      </c>
      <c r="J23" s="50">
        <v>6360</v>
      </c>
      <c r="K23" s="50">
        <f t="shared" si="0"/>
        <v>5800</v>
      </c>
      <c r="L23" s="51"/>
      <c r="M23" s="52"/>
      <c r="N23" s="51">
        <f t="shared" si="1"/>
        <v>6360</v>
      </c>
      <c r="O23" s="29"/>
      <c r="P23" s="47"/>
      <c r="Q23" s="26"/>
      <c r="R23" s="25"/>
      <c r="S23" s="25"/>
      <c r="T23" s="25"/>
    </row>
    <row r="24" ht="30.75" customHeight="1" spans="1:20" x14ac:dyDescent="0.25">
      <c r="A24" s="26"/>
      <c r="B24" s="44" t="s">
        <v>92</v>
      </c>
      <c r="C24" s="45"/>
      <c r="D24" s="45"/>
      <c r="E24" s="46"/>
      <c r="F24" s="49">
        <v>1</v>
      </c>
      <c r="G24" s="44" t="s">
        <v>37</v>
      </c>
      <c r="H24" s="46"/>
      <c r="I24" s="49">
        <v>7500</v>
      </c>
      <c r="J24" s="50">
        <v>9000</v>
      </c>
      <c r="K24" s="50">
        <f t="shared" si="0"/>
        <v>7500</v>
      </c>
      <c r="L24" s="51"/>
      <c r="M24" s="52"/>
      <c r="N24" s="51">
        <f t="shared" si="1"/>
        <v>9000</v>
      </c>
      <c r="O24" s="29"/>
      <c r="P24" s="47"/>
      <c r="Q24" s="26"/>
      <c r="R24" s="25"/>
      <c r="S24" s="25"/>
      <c r="T24" s="25"/>
    </row>
    <row r="25" ht="30.75" customHeight="1" spans="1:20" x14ac:dyDescent="0.25">
      <c r="A25" s="26"/>
      <c r="B25" s="44"/>
      <c r="C25" s="45"/>
      <c r="D25" s="45"/>
      <c r="E25" s="46"/>
      <c r="F25" s="49"/>
      <c r="G25" s="44" t="s">
        <v>37</v>
      </c>
      <c r="H25" s="46"/>
      <c r="I25" s="49"/>
      <c r="J25" s="50"/>
      <c r="K25" s="50">
        <f t="shared" si="0"/>
        <v>0</v>
      </c>
      <c r="L25" s="51"/>
      <c r="M25" s="52"/>
      <c r="N25" s="51">
        <f>F25*J25</f>
        <v>0</v>
      </c>
      <c r="O25" s="29"/>
      <c r="P25" s="47"/>
      <c r="Q25" s="26"/>
      <c r="R25" s="25"/>
      <c r="S25" s="25"/>
      <c r="T25" s="25"/>
    </row>
    <row r="26" ht="30.75" customHeight="1" spans="1:20" x14ac:dyDescent="0.25">
      <c r="A26" s="26"/>
      <c r="B26" s="44"/>
      <c r="C26" s="45"/>
      <c r="D26" s="45"/>
      <c r="E26" s="46"/>
      <c r="F26" s="49"/>
      <c r="G26" s="44" t="s">
        <v>37</v>
      </c>
      <c r="H26" s="46"/>
      <c r="I26" s="49"/>
      <c r="J26" s="50"/>
      <c r="K26" s="50">
        <f t="shared" si="0"/>
        <v>0</v>
      </c>
      <c r="L26" s="51"/>
      <c r="M26" s="52"/>
      <c r="N26" s="51">
        <f t="shared" si="1"/>
        <v>0</v>
      </c>
      <c r="O26" s="29"/>
      <c r="P26" s="47"/>
      <c r="Q26" s="26"/>
      <c r="R26" s="25"/>
      <c r="S26" s="25"/>
      <c r="T26" s="25"/>
    </row>
    <row r="27" ht="30.75" customHeight="1" spans="1:20" x14ac:dyDescent="0.25">
      <c r="A27" s="26"/>
      <c r="B27" s="44"/>
      <c r="C27" s="45"/>
      <c r="D27" s="45"/>
      <c r="E27" s="46"/>
      <c r="F27" s="49"/>
      <c r="G27" s="44" t="s">
        <v>37</v>
      </c>
      <c r="H27" s="46"/>
      <c r="I27" s="49"/>
      <c r="J27" s="50"/>
      <c r="K27" s="50">
        <f t="shared" si="0"/>
        <v>0</v>
      </c>
      <c r="L27" s="51"/>
      <c r="M27" s="52"/>
      <c r="N27" s="51">
        <f>F27*J27</f>
        <v>0</v>
      </c>
      <c r="O27" s="29"/>
      <c r="P27" s="47"/>
      <c r="Q27" s="26"/>
      <c r="R27" s="25"/>
      <c r="S27" s="25"/>
      <c r="T27" s="25"/>
    </row>
    <row r="28" ht="30.75" customHeight="1" spans="1:20" x14ac:dyDescent="0.25">
      <c r="A28" s="26"/>
      <c r="B28" s="44"/>
      <c r="C28" s="45"/>
      <c r="D28" s="45"/>
      <c r="E28" s="46"/>
      <c r="F28" s="49"/>
      <c r="G28" s="44" t="s">
        <v>37</v>
      </c>
      <c r="H28" s="46"/>
      <c r="I28" s="49"/>
      <c r="J28" s="50"/>
      <c r="K28" s="50">
        <f t="shared" si="0"/>
        <v>0</v>
      </c>
      <c r="L28" s="51"/>
      <c r="M28" s="52"/>
      <c r="N28" s="51">
        <f t="shared" si="1"/>
        <v>0</v>
      </c>
      <c r="O28" s="29"/>
      <c r="P28" s="47"/>
      <c r="Q28" s="26"/>
      <c r="R28" s="25"/>
      <c r="S28" s="25"/>
      <c r="T28" s="25"/>
    </row>
    <row r="29" ht="30.75" customHeight="1" spans="1:20" x14ac:dyDescent="0.25">
      <c r="A29" s="26"/>
      <c r="B29" s="44"/>
      <c r="C29" s="45"/>
      <c r="D29" s="45"/>
      <c r="E29" s="46"/>
      <c r="F29" s="49"/>
      <c r="G29" s="44" t="s">
        <v>37</v>
      </c>
      <c r="H29" s="46"/>
      <c r="I29" s="49"/>
      <c r="J29" s="50"/>
      <c r="K29" s="50">
        <f t="shared" si="0"/>
        <v>0</v>
      </c>
      <c r="L29" s="51"/>
      <c r="M29" s="52"/>
      <c r="N29" s="51">
        <f t="shared" si="1"/>
        <v>0</v>
      </c>
      <c r="O29" s="29"/>
      <c r="P29" s="47"/>
      <c r="Q29" s="26"/>
      <c r="R29" s="25"/>
      <c r="S29" s="25"/>
      <c r="T29" s="25"/>
    </row>
    <row r="30" ht="30.75" customHeight="1" spans="1:20" x14ac:dyDescent="0.25">
      <c r="A30" s="26"/>
      <c r="B30" s="44"/>
      <c r="C30" s="45"/>
      <c r="D30" s="45"/>
      <c r="E30" s="46"/>
      <c r="F30" s="49"/>
      <c r="G30" s="44" t="s">
        <v>37</v>
      </c>
      <c r="H30" s="46"/>
      <c r="I30" s="49"/>
      <c r="J30" s="50"/>
      <c r="K30" s="50">
        <f t="shared" si="0"/>
        <v>0</v>
      </c>
      <c r="L30" s="51"/>
      <c r="M30" s="52"/>
      <c r="N30" s="51">
        <f t="shared" si="1"/>
        <v>0</v>
      </c>
      <c r="O30" s="29"/>
      <c r="P30" s="47"/>
      <c r="Q30" s="26"/>
      <c r="R30" s="25"/>
      <c r="S30" s="25"/>
      <c r="T30" s="25"/>
    </row>
    <row r="31" ht="30.75" customHeight="1" spans="1:20" x14ac:dyDescent="0.25">
      <c r="A31" s="26"/>
      <c r="B31" s="44"/>
      <c r="C31" s="45"/>
      <c r="D31" s="45"/>
      <c r="E31" s="46"/>
      <c r="F31" s="49"/>
      <c r="G31" s="44" t="s">
        <v>37</v>
      </c>
      <c r="H31" s="46"/>
      <c r="I31" s="49"/>
      <c r="J31" s="50"/>
      <c r="K31" s="50">
        <f t="shared" si="0"/>
        <v>0</v>
      </c>
      <c r="L31" s="51"/>
      <c r="M31" s="52"/>
      <c r="N31" s="51">
        <f t="shared" si="1"/>
        <v>0</v>
      </c>
      <c r="O31" s="29"/>
      <c r="P31" s="47"/>
      <c r="Q31" s="26"/>
      <c r="R31" s="25"/>
      <c r="S31" s="25"/>
      <c r="T31" s="25"/>
    </row>
    <row r="32" ht="30.75" customHeight="1" spans="1:20" x14ac:dyDescent="0.25">
      <c r="A32" s="26"/>
      <c r="B32" s="44"/>
      <c r="C32" s="45"/>
      <c r="D32" s="45"/>
      <c r="E32" s="46"/>
      <c r="F32" s="49"/>
      <c r="G32" s="44" t="s">
        <v>37</v>
      </c>
      <c r="H32" s="46"/>
      <c r="I32" s="49"/>
      <c r="J32" s="50"/>
      <c r="K32" s="50">
        <f t="shared" si="0"/>
        <v>0</v>
      </c>
      <c r="L32" s="51"/>
      <c r="M32" s="52"/>
      <c r="N32" s="51">
        <f t="shared" si="1"/>
        <v>0</v>
      </c>
      <c r="O32" s="29"/>
      <c r="P32" s="47"/>
      <c r="Q32" s="26"/>
      <c r="R32" s="25"/>
      <c r="S32" s="25"/>
      <c r="T32" s="25"/>
    </row>
    <row r="33" ht="30.75" customHeight="1" spans="1:20" x14ac:dyDescent="0.25">
      <c r="A33" s="26"/>
      <c r="B33" s="44"/>
      <c r="C33" s="45"/>
      <c r="D33" s="45"/>
      <c r="E33" s="46"/>
      <c r="F33" s="49"/>
      <c r="G33" s="44" t="s">
        <v>37</v>
      </c>
      <c r="H33" s="46"/>
      <c r="I33" s="49"/>
      <c r="J33" s="50"/>
      <c r="K33" s="50">
        <f t="shared" si="0"/>
        <v>0</v>
      </c>
      <c r="L33" s="51"/>
      <c r="M33" s="52"/>
      <c r="N33" s="51">
        <f t="shared" si="1"/>
        <v>0</v>
      </c>
      <c r="O33" s="29"/>
      <c r="P33" s="47"/>
      <c r="Q33" s="26"/>
      <c r="R33" s="25"/>
      <c r="S33" s="25"/>
      <c r="T33" s="25"/>
    </row>
    <row r="34" ht="30.75" customHeight="1" spans="1:20" x14ac:dyDescent="0.25">
      <c r="A34" s="26"/>
      <c r="B34" s="44"/>
      <c r="C34" s="45"/>
      <c r="D34" s="45"/>
      <c r="E34" s="46"/>
      <c r="F34" s="49"/>
      <c r="G34" s="44" t="s">
        <v>37</v>
      </c>
      <c r="H34" s="46"/>
      <c r="I34" s="49"/>
      <c r="J34" s="50"/>
      <c r="K34" s="50">
        <f t="shared" si="0"/>
        <v>0</v>
      </c>
      <c r="L34" s="51"/>
      <c r="M34" s="52"/>
      <c r="N34" s="51">
        <f t="shared" si="1"/>
        <v>0</v>
      </c>
      <c r="O34" s="29"/>
      <c r="P34" s="47"/>
      <c r="Q34" s="26"/>
      <c r="R34" s="25"/>
      <c r="S34" s="25"/>
      <c r="T34" s="25"/>
    </row>
    <row r="35" ht="30.75" customHeight="1" spans="1:20" x14ac:dyDescent="0.25">
      <c r="A35" s="26"/>
      <c r="B35" s="44"/>
      <c r="C35" s="45"/>
      <c r="D35" s="45"/>
      <c r="E35" s="46"/>
      <c r="F35" s="49"/>
      <c r="G35" s="44" t="s">
        <v>37</v>
      </c>
      <c r="H35" s="46"/>
      <c r="I35" s="49"/>
      <c r="J35" s="50"/>
      <c r="K35" s="50">
        <f t="shared" si="0"/>
        <v>0</v>
      </c>
      <c r="L35" s="51"/>
      <c r="M35" s="52"/>
      <c r="N35" s="51">
        <f t="shared" si="1"/>
        <v>0</v>
      </c>
      <c r="O35" s="29"/>
      <c r="P35" s="47"/>
      <c r="Q35" s="26"/>
      <c r="R35" s="25"/>
      <c r="S35" s="25"/>
      <c r="T35" s="25"/>
    </row>
    <row r="36" ht="30.75" customHeight="1" spans="1:20" x14ac:dyDescent="0.25">
      <c r="A36" s="26"/>
      <c r="B36" s="44"/>
      <c r="C36" s="45"/>
      <c r="D36" s="45"/>
      <c r="E36" s="46"/>
      <c r="F36" s="49"/>
      <c r="G36" s="44" t="s">
        <v>37</v>
      </c>
      <c r="H36" s="46"/>
      <c r="I36" s="49"/>
      <c r="J36" s="50"/>
      <c r="K36" s="50">
        <f t="shared" si="0"/>
        <v>0</v>
      </c>
      <c r="L36" s="38"/>
      <c r="M36" s="53"/>
      <c r="N36" s="51">
        <f t="shared" si="1"/>
        <v>0</v>
      </c>
      <c r="O36" s="29"/>
      <c r="P36" s="47"/>
      <c r="Q36" s="26"/>
      <c r="R36" s="25"/>
      <c r="S36" s="25"/>
      <c r="T36" s="25"/>
    </row>
    <row r="37" ht="26.25" customHeight="1" spans="1:20" x14ac:dyDescent="0.25">
      <c r="A37" s="26"/>
      <c r="B37" s="44"/>
      <c r="C37" s="45"/>
      <c r="D37" s="45"/>
      <c r="E37" s="45"/>
      <c r="F37" s="45"/>
      <c r="G37" s="45"/>
      <c r="H37" s="45"/>
      <c r="I37" s="45"/>
      <c r="J37" s="45"/>
      <c r="K37" s="54">
        <f>SUM(K12:K36)</f>
        <v>188768</v>
      </c>
      <c r="L37" s="55"/>
      <c r="M37" s="56"/>
      <c r="N37" s="57">
        <f>SUM(N12:N36)</f>
        <v>257812</v>
      </c>
      <c r="O37" s="29"/>
      <c r="P37" s="29"/>
      <c r="Q37" s="26"/>
      <c r="R37" s="25"/>
      <c r="S37" s="25"/>
      <c r="T37" s="25"/>
    </row>
    <row r="38" ht="15" customHeight="1" spans="1:20" x14ac:dyDescent="0.25">
      <c r="A38" s="26"/>
      <c r="B38" s="26"/>
      <c r="C38" s="26"/>
      <c r="D38" s="26"/>
      <c r="E38" s="27" t="s">
        <v>7</v>
      </c>
      <c r="F38" s="27"/>
      <c r="G38" s="27"/>
      <c r="H38" s="27"/>
      <c r="I38" s="27"/>
      <c r="J38" s="27"/>
      <c r="K38" s="28" t="s">
        <v>8</v>
      </c>
      <c r="L38" s="28">
        <v>2</v>
      </c>
      <c r="M38" s="28"/>
      <c r="N38" s="28"/>
      <c r="O38" s="26"/>
      <c r="P38" s="26"/>
      <c r="Q38" s="26"/>
      <c r="R38" s="25"/>
      <c r="S38" s="25"/>
      <c r="T38" s="25"/>
    </row>
    <row r="39" ht="15" customHeight="1" spans="1:20" x14ac:dyDescent="0.25">
      <c r="A39" s="26"/>
      <c r="B39" s="26"/>
      <c r="C39" s="26"/>
      <c r="D39" s="26"/>
      <c r="E39" s="27"/>
      <c r="F39" s="27"/>
      <c r="G39" s="27"/>
      <c r="H39" s="27"/>
      <c r="I39" s="27"/>
      <c r="J39" s="27"/>
      <c r="K39" s="26"/>
      <c r="L39" s="26"/>
      <c r="M39" s="26"/>
      <c r="N39" s="26"/>
      <c r="O39" s="26"/>
      <c r="P39" s="26"/>
      <c r="Q39" s="26"/>
      <c r="R39" s="25"/>
      <c r="S39" s="25"/>
      <c r="T39" s="25"/>
    </row>
    <row r="40" ht="15" customHeight="1" spans="1:20" x14ac:dyDescent="0.25">
      <c r="A40" s="26"/>
      <c r="B40" s="26"/>
      <c r="C40" s="26"/>
      <c r="D40" s="26"/>
      <c r="E40" s="27"/>
      <c r="F40" s="27"/>
      <c r="G40" s="27"/>
      <c r="H40" s="27"/>
      <c r="I40" s="27"/>
      <c r="J40" s="27"/>
      <c r="K40" s="26"/>
      <c r="L40" s="26"/>
      <c r="M40" s="26"/>
      <c r="N40" s="26"/>
      <c r="O40" s="26"/>
      <c r="P40" s="26"/>
      <c r="Q40" s="26"/>
      <c r="R40" s="25"/>
      <c r="S40" s="25"/>
      <c r="T40" s="25"/>
    </row>
    <row r="41" ht="15" customHeight="1" spans="1:20" x14ac:dyDescent="0.25">
      <c r="A41" s="26"/>
      <c r="B41" s="26"/>
      <c r="C41" s="26"/>
      <c r="D41" s="26"/>
      <c r="E41" s="26"/>
      <c r="F41" s="26"/>
      <c r="G41" s="26"/>
      <c r="H41" s="26"/>
      <c r="I41" s="29"/>
      <c r="J41" s="29"/>
      <c r="K41" s="30" t="s">
        <v>9</v>
      </c>
      <c r="L41" s="31" t="s">
        <v>9</v>
      </c>
      <c r="M41" s="32"/>
      <c r="N41" s="30" t="s">
        <v>26</v>
      </c>
      <c r="O41" s="29"/>
      <c r="P41" s="29"/>
      <c r="Q41" s="26"/>
      <c r="R41" s="25"/>
      <c r="S41" s="25"/>
      <c r="T41" s="25"/>
    </row>
    <row r="42" ht="15" customHeight="1" spans="1:20" x14ac:dyDescent="0.25">
      <c r="A42" s="26"/>
      <c r="B42" s="26" t="s">
        <v>10</v>
      </c>
      <c r="C42" s="28" t="s">
        <v>27</v>
      </c>
      <c r="D42" s="26"/>
      <c r="E42" s="26"/>
      <c r="F42" s="26"/>
      <c r="G42" s="26"/>
      <c r="H42" s="26"/>
      <c r="I42" s="29"/>
      <c r="J42" s="29"/>
      <c r="K42" s="33" t="s">
        <v>12</v>
      </c>
      <c r="L42" s="34" t="s">
        <v>11</v>
      </c>
      <c r="M42" s="35"/>
      <c r="N42" s="33"/>
      <c r="O42" s="29"/>
      <c r="P42" s="29"/>
      <c r="Q42" s="26"/>
      <c r="R42" s="25"/>
      <c r="S42" s="25"/>
      <c r="T42" s="25"/>
    </row>
    <row r="43" ht="15" customHeight="1" spans="1:20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6"/>
      <c r="L43" s="37"/>
      <c r="M43" s="38"/>
      <c r="N43" s="39"/>
      <c r="O43" s="26"/>
      <c r="P43" s="26"/>
      <c r="Q43" s="26"/>
      <c r="R43" s="25"/>
      <c r="S43" s="25"/>
      <c r="T43" s="25"/>
    </row>
    <row r="44" ht="15" customHeight="1" spans="1:20" x14ac:dyDescent="0.25">
      <c r="A44" s="26"/>
      <c r="B44" s="26" t="s">
        <v>13</v>
      </c>
      <c r="C44" s="28" t="s">
        <v>78</v>
      </c>
      <c r="D44" s="26"/>
      <c r="E44" s="28" t="s">
        <v>14</v>
      </c>
      <c r="F44" s="40" t="str">
        <f>F7</f>
        <v>         2026年 　　2月28日</v>
      </c>
      <c r="G44" s="40"/>
      <c r="H44" s="26"/>
      <c r="I44" s="26"/>
      <c r="J44" s="26"/>
      <c r="K44" s="36"/>
      <c r="L44" s="36"/>
      <c r="M44" s="39"/>
      <c r="N44" s="39"/>
      <c r="O44" s="26"/>
      <c r="P44" s="26"/>
      <c r="Q44" s="26"/>
      <c r="R44" s="25"/>
      <c r="S44" s="25"/>
      <c r="T44" s="25"/>
    </row>
    <row r="45" ht="15" customHeight="1" spans="1:20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6"/>
      <c r="L45" s="36"/>
      <c r="M45" s="39"/>
      <c r="N45" s="39"/>
      <c r="O45" s="26"/>
      <c r="P45" s="26"/>
      <c r="Q45" s="26"/>
      <c r="R45" s="25"/>
      <c r="S45" s="25"/>
      <c r="T45" s="25"/>
    </row>
    <row r="46" ht="15" customHeight="1" spans="1:20" x14ac:dyDescent="0.25">
      <c r="A46" s="26"/>
      <c r="B46" s="26" t="s">
        <v>16</v>
      </c>
      <c r="C46" s="41" t="s">
        <v>30</v>
      </c>
      <c r="D46" s="26"/>
      <c r="E46" s="40" t="s">
        <v>31</v>
      </c>
      <c r="F46" s="28"/>
      <c r="G46" s="28"/>
      <c r="H46" s="26"/>
      <c r="I46" s="26"/>
      <c r="J46" s="26"/>
      <c r="K46" s="42"/>
      <c r="L46" s="42"/>
      <c r="M46" s="43"/>
      <c r="N46" s="43"/>
      <c r="O46" s="26"/>
      <c r="P46" s="26"/>
      <c r="Q46" s="26"/>
      <c r="R46" s="25"/>
      <c r="S46" s="25"/>
      <c r="T46" s="25"/>
    </row>
    <row r="47" spans="1:20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5"/>
      <c r="S47" s="25"/>
      <c r="T47" s="25"/>
    </row>
    <row r="48" ht="24" customHeight="1" spans="1:20" x14ac:dyDescent="0.25">
      <c r="A48" s="26"/>
      <c r="B48" s="44" t="s">
        <v>19</v>
      </c>
      <c r="C48" s="45"/>
      <c r="D48" s="45"/>
      <c r="E48" s="46"/>
      <c r="F48" s="47" t="s">
        <v>20</v>
      </c>
      <c r="G48" s="44" t="s">
        <v>21</v>
      </c>
      <c r="H48" s="46"/>
      <c r="I48" s="47" t="s">
        <v>32</v>
      </c>
      <c r="J48" s="44" t="s">
        <v>22</v>
      </c>
      <c r="K48" s="44" t="s">
        <v>33</v>
      </c>
      <c r="L48" s="46"/>
      <c r="M48" s="44" t="s">
        <v>34</v>
      </c>
      <c r="N48" s="46"/>
      <c r="O48" s="29"/>
      <c r="P48" s="48" t="s">
        <v>35</v>
      </c>
      <c r="Q48" s="26"/>
      <c r="R48" s="25"/>
      <c r="S48" s="25"/>
      <c r="T48" s="25"/>
    </row>
    <row r="49" ht="30.75" customHeight="1" spans="1:20" x14ac:dyDescent="0.25">
      <c r="A49" s="26"/>
      <c r="B49" s="44"/>
      <c r="C49" s="45"/>
      <c r="D49" s="45"/>
      <c r="E49" s="46"/>
      <c r="F49" s="49"/>
      <c r="G49" s="44" t="s">
        <v>37</v>
      </c>
      <c r="H49" s="46"/>
      <c r="I49" s="49"/>
      <c r="J49" s="50"/>
      <c r="K49" s="50">
        <f>F49*I49</f>
        <v>0</v>
      </c>
      <c r="L49" s="51"/>
      <c r="M49" s="45"/>
      <c r="N49" s="51">
        <f>F49*J49</f>
        <v>0</v>
      </c>
      <c r="O49" s="29"/>
      <c r="P49" s="47"/>
      <c r="Q49" s="26"/>
      <c r="R49" s="25"/>
      <c r="S49" s="25"/>
      <c r="T49" s="25"/>
    </row>
    <row r="50" ht="30.75" customHeight="1" spans="1:20" x14ac:dyDescent="0.25">
      <c r="A50" s="26"/>
      <c r="B50" s="44"/>
      <c r="C50" s="45"/>
      <c r="D50" s="45"/>
      <c r="E50" s="46"/>
      <c r="F50" s="49"/>
      <c r="G50" s="44" t="s">
        <v>37</v>
      </c>
      <c r="H50" s="46"/>
      <c r="I50" s="49"/>
      <c r="J50" s="50"/>
      <c r="K50" s="50">
        <f t="shared" ref="K50:K73" si="2">F50*I50</f>
        <v>0</v>
      </c>
      <c r="L50" s="51"/>
      <c r="M50" s="52"/>
      <c r="N50" s="51">
        <f t="shared" ref="N50:N73" si="3">F50*J50</f>
        <v>0</v>
      </c>
      <c r="O50" s="29"/>
      <c r="P50" s="47"/>
      <c r="Q50" s="26"/>
      <c r="R50" s="25"/>
      <c r="S50" s="25"/>
      <c r="T50" s="25"/>
    </row>
    <row r="51" ht="30.75" customHeight="1" spans="1:20" x14ac:dyDescent="0.25">
      <c r="A51" s="26"/>
      <c r="B51" s="44"/>
      <c r="C51" s="45"/>
      <c r="D51" s="45"/>
      <c r="E51" s="46"/>
      <c r="F51" s="49"/>
      <c r="G51" s="44" t="s">
        <v>37</v>
      </c>
      <c r="H51" s="46"/>
      <c r="I51" s="49"/>
      <c r="J51" s="50"/>
      <c r="K51" s="50">
        <f t="shared" si="2"/>
        <v>0</v>
      </c>
      <c r="L51" s="51"/>
      <c r="M51" s="52"/>
      <c r="N51" s="51">
        <f t="shared" si="3"/>
        <v>0</v>
      </c>
      <c r="O51" s="29"/>
      <c r="P51" s="47"/>
      <c r="Q51" s="26"/>
      <c r="R51" s="25"/>
      <c r="S51" s="25"/>
      <c r="T51" s="25"/>
    </row>
    <row r="52" ht="30.75" customHeight="1" spans="1:20" x14ac:dyDescent="0.25">
      <c r="A52" s="26"/>
      <c r="B52" s="44"/>
      <c r="C52" s="45"/>
      <c r="D52" s="45"/>
      <c r="E52" s="46"/>
      <c r="F52" s="49"/>
      <c r="G52" s="44" t="s">
        <v>37</v>
      </c>
      <c r="H52" s="46"/>
      <c r="I52" s="49"/>
      <c r="J52" s="50"/>
      <c r="K52" s="50">
        <f t="shared" si="2"/>
        <v>0</v>
      </c>
      <c r="L52" s="51"/>
      <c r="M52" s="52"/>
      <c r="N52" s="51">
        <f t="shared" si="3"/>
        <v>0</v>
      </c>
      <c r="O52" s="29"/>
      <c r="P52" s="47"/>
      <c r="Q52" s="26"/>
      <c r="R52" s="25"/>
      <c r="S52" s="25"/>
      <c r="T52" s="25"/>
    </row>
    <row r="53" ht="30.75" customHeight="1" spans="1:20" x14ac:dyDescent="0.25">
      <c r="A53" s="26"/>
      <c r="B53" s="44"/>
      <c r="C53" s="45"/>
      <c r="D53" s="45"/>
      <c r="E53" s="46"/>
      <c r="F53" s="49"/>
      <c r="G53" s="44" t="s">
        <v>37</v>
      </c>
      <c r="H53" s="46"/>
      <c r="I53" s="49"/>
      <c r="J53" s="50"/>
      <c r="K53" s="50">
        <f t="shared" si="2"/>
        <v>0</v>
      </c>
      <c r="L53" s="51"/>
      <c r="M53" s="52"/>
      <c r="N53" s="51">
        <f t="shared" si="3"/>
        <v>0</v>
      </c>
      <c r="O53" s="29"/>
      <c r="P53" s="47"/>
      <c r="Q53" s="26"/>
      <c r="R53" s="25"/>
      <c r="S53" s="25"/>
      <c r="T53" s="25"/>
    </row>
    <row r="54" ht="30.75" customHeight="1" spans="1:20" x14ac:dyDescent="0.25">
      <c r="A54" s="26"/>
      <c r="B54" s="44"/>
      <c r="C54" s="45"/>
      <c r="D54" s="45"/>
      <c r="E54" s="46"/>
      <c r="F54" s="49"/>
      <c r="G54" s="44" t="s">
        <v>37</v>
      </c>
      <c r="H54" s="46"/>
      <c r="I54" s="49"/>
      <c r="J54" s="50"/>
      <c r="K54" s="50">
        <f t="shared" si="2"/>
        <v>0</v>
      </c>
      <c r="L54" s="51"/>
      <c r="M54" s="52"/>
      <c r="N54" s="51">
        <f t="shared" si="3"/>
        <v>0</v>
      </c>
      <c r="O54" s="29"/>
      <c r="P54" s="47"/>
      <c r="Q54" s="26"/>
      <c r="R54" s="25"/>
      <c r="S54" s="25"/>
      <c r="T54" s="25"/>
    </row>
    <row r="55" ht="30.75" customHeight="1" spans="1:20" x14ac:dyDescent="0.25">
      <c r="A55" s="26"/>
      <c r="B55" s="44"/>
      <c r="C55" s="45"/>
      <c r="D55" s="45"/>
      <c r="E55" s="46"/>
      <c r="F55" s="49"/>
      <c r="G55" s="44" t="s">
        <v>37</v>
      </c>
      <c r="H55" s="46"/>
      <c r="I55" s="49"/>
      <c r="J55" s="50"/>
      <c r="K55" s="50">
        <f t="shared" si="2"/>
        <v>0</v>
      </c>
      <c r="L55" s="51"/>
      <c r="M55" s="52"/>
      <c r="N55" s="51">
        <f t="shared" si="3"/>
        <v>0</v>
      </c>
      <c r="O55" s="29"/>
      <c r="P55" s="47"/>
      <c r="Q55" s="26"/>
      <c r="R55" s="25"/>
      <c r="S55" s="25"/>
      <c r="T55" s="25"/>
    </row>
    <row r="56" ht="30.75" customHeight="1" spans="1:20" x14ac:dyDescent="0.25">
      <c r="A56" s="26"/>
      <c r="B56" s="44"/>
      <c r="C56" s="45"/>
      <c r="D56" s="45"/>
      <c r="E56" s="46"/>
      <c r="F56" s="49"/>
      <c r="G56" s="44" t="s">
        <v>37</v>
      </c>
      <c r="H56" s="46"/>
      <c r="I56" s="49"/>
      <c r="J56" s="50"/>
      <c r="K56" s="50">
        <f t="shared" si="2"/>
        <v>0</v>
      </c>
      <c r="L56" s="51"/>
      <c r="M56" s="52"/>
      <c r="N56" s="51">
        <f t="shared" si="3"/>
        <v>0</v>
      </c>
      <c r="O56" s="29"/>
      <c r="P56" s="47"/>
      <c r="Q56" s="26"/>
      <c r="R56" s="25"/>
      <c r="S56" s="25"/>
      <c r="T56" s="25"/>
    </row>
    <row r="57" ht="30.75" customHeight="1" spans="1:20" x14ac:dyDescent="0.25">
      <c r="A57" s="26"/>
      <c r="B57" s="44"/>
      <c r="C57" s="45"/>
      <c r="D57" s="45"/>
      <c r="E57" s="46"/>
      <c r="F57" s="49"/>
      <c r="G57" s="44" t="s">
        <v>37</v>
      </c>
      <c r="H57" s="46"/>
      <c r="I57" s="49"/>
      <c r="J57" s="50"/>
      <c r="K57" s="50">
        <f t="shared" si="2"/>
        <v>0</v>
      </c>
      <c r="L57" s="51"/>
      <c r="M57" s="52"/>
      <c r="N57" s="51">
        <f t="shared" si="3"/>
        <v>0</v>
      </c>
      <c r="O57" s="29"/>
      <c r="P57" s="47"/>
      <c r="Q57" s="26"/>
      <c r="R57" s="25"/>
      <c r="S57" s="25"/>
      <c r="T57" s="25"/>
    </row>
    <row r="58" ht="30.75" customHeight="1" spans="1:20" x14ac:dyDescent="0.25">
      <c r="A58" s="26"/>
      <c r="B58" s="44"/>
      <c r="C58" s="45"/>
      <c r="D58" s="45"/>
      <c r="E58" s="46"/>
      <c r="F58" s="49"/>
      <c r="G58" s="44" t="s">
        <v>37</v>
      </c>
      <c r="H58" s="46"/>
      <c r="I58" s="49"/>
      <c r="J58" s="50"/>
      <c r="K58" s="50">
        <f t="shared" si="2"/>
        <v>0</v>
      </c>
      <c r="L58" s="51"/>
      <c r="M58" s="52"/>
      <c r="N58" s="51">
        <f t="shared" si="3"/>
        <v>0</v>
      </c>
      <c r="O58" s="29"/>
      <c r="P58" s="47"/>
      <c r="Q58" s="26"/>
      <c r="R58" s="25"/>
      <c r="S58" s="25"/>
      <c r="T58" s="25"/>
    </row>
    <row r="59" ht="30.75" customHeight="1" spans="1:20" x14ac:dyDescent="0.25">
      <c r="A59" s="26"/>
      <c r="B59" s="44"/>
      <c r="C59" s="45"/>
      <c r="D59" s="45"/>
      <c r="E59" s="46"/>
      <c r="F59" s="49"/>
      <c r="G59" s="44" t="s">
        <v>37</v>
      </c>
      <c r="H59" s="46"/>
      <c r="I59" s="49"/>
      <c r="J59" s="50"/>
      <c r="K59" s="50">
        <f t="shared" si="2"/>
        <v>0</v>
      </c>
      <c r="L59" s="51"/>
      <c r="M59" s="52"/>
      <c r="N59" s="51">
        <f t="shared" si="3"/>
        <v>0</v>
      </c>
      <c r="O59" s="29"/>
      <c r="P59" s="47"/>
      <c r="Q59" s="26"/>
      <c r="R59" s="25"/>
      <c r="S59" s="25"/>
      <c r="T59" s="25"/>
    </row>
    <row r="60" ht="30.75" customHeight="1" spans="1:20" x14ac:dyDescent="0.25">
      <c r="A60" s="26"/>
      <c r="B60" s="44"/>
      <c r="C60" s="45"/>
      <c r="D60" s="45"/>
      <c r="E60" s="46"/>
      <c r="F60" s="49"/>
      <c r="G60" s="44" t="s">
        <v>37</v>
      </c>
      <c r="H60" s="46"/>
      <c r="I60" s="49"/>
      <c r="J60" s="50"/>
      <c r="K60" s="50">
        <f t="shared" si="2"/>
        <v>0</v>
      </c>
      <c r="L60" s="51"/>
      <c r="M60" s="52"/>
      <c r="N60" s="51">
        <f t="shared" si="3"/>
        <v>0</v>
      </c>
      <c r="O60" s="29"/>
      <c r="P60" s="47"/>
      <c r="Q60" s="26"/>
      <c r="R60" s="25"/>
      <c r="S60" s="25"/>
      <c r="T60" s="25"/>
    </row>
    <row r="61" ht="30.75" customHeight="1" spans="1:20" x14ac:dyDescent="0.25">
      <c r="A61" s="26"/>
      <c r="B61" s="44"/>
      <c r="C61" s="45"/>
      <c r="D61" s="45"/>
      <c r="E61" s="46"/>
      <c r="F61" s="49"/>
      <c r="G61" s="44" t="s">
        <v>37</v>
      </c>
      <c r="H61" s="46"/>
      <c r="I61" s="49"/>
      <c r="J61" s="50"/>
      <c r="K61" s="50">
        <f t="shared" si="2"/>
        <v>0</v>
      </c>
      <c r="L61" s="51"/>
      <c r="M61" s="52"/>
      <c r="N61" s="51">
        <f t="shared" si="3"/>
        <v>0</v>
      </c>
      <c r="O61" s="29"/>
      <c r="P61" s="47"/>
      <c r="Q61" s="26"/>
      <c r="R61" s="25"/>
      <c r="S61" s="25"/>
      <c r="T61" s="25"/>
    </row>
    <row r="62" ht="30.75" customHeight="1" spans="1:20" x14ac:dyDescent="0.25">
      <c r="A62" s="26"/>
      <c r="B62" s="44"/>
      <c r="C62" s="45"/>
      <c r="D62" s="45"/>
      <c r="E62" s="46"/>
      <c r="F62" s="49"/>
      <c r="G62" s="44" t="s">
        <v>37</v>
      </c>
      <c r="H62" s="46"/>
      <c r="I62" s="49"/>
      <c r="J62" s="50"/>
      <c r="K62" s="50">
        <f t="shared" si="2"/>
        <v>0</v>
      </c>
      <c r="L62" s="51"/>
      <c r="M62" s="52"/>
      <c r="N62" s="51">
        <f t="shared" si="3"/>
        <v>0</v>
      </c>
      <c r="O62" s="29"/>
      <c r="P62" s="47"/>
      <c r="Q62" s="26"/>
      <c r="R62" s="25"/>
      <c r="S62" s="25"/>
      <c r="T62" s="25"/>
    </row>
    <row r="63" ht="30.75" customHeight="1" spans="1:20" x14ac:dyDescent="0.25">
      <c r="A63" s="26"/>
      <c r="B63" s="44"/>
      <c r="C63" s="45"/>
      <c r="D63" s="45"/>
      <c r="E63" s="46"/>
      <c r="F63" s="49"/>
      <c r="G63" s="44" t="s">
        <v>37</v>
      </c>
      <c r="H63" s="46"/>
      <c r="I63" s="49"/>
      <c r="J63" s="50"/>
      <c r="K63" s="50">
        <f t="shared" si="2"/>
        <v>0</v>
      </c>
      <c r="L63" s="51"/>
      <c r="M63" s="52"/>
      <c r="N63" s="51">
        <f t="shared" si="3"/>
        <v>0</v>
      </c>
      <c r="O63" s="29"/>
      <c r="P63" s="47"/>
      <c r="Q63" s="26"/>
      <c r="R63" s="25"/>
      <c r="S63" s="25"/>
      <c r="T63" s="25"/>
    </row>
    <row r="64" ht="30.75" customHeight="1" spans="1:20" x14ac:dyDescent="0.25">
      <c r="A64" s="26"/>
      <c r="B64" s="44"/>
      <c r="C64" s="45"/>
      <c r="D64" s="45"/>
      <c r="E64" s="46"/>
      <c r="F64" s="49"/>
      <c r="G64" s="44" t="s">
        <v>37</v>
      </c>
      <c r="H64" s="46"/>
      <c r="I64" s="49"/>
      <c r="J64" s="50"/>
      <c r="K64" s="50">
        <f t="shared" si="2"/>
        <v>0</v>
      </c>
      <c r="L64" s="51"/>
      <c r="M64" s="52"/>
      <c r="N64" s="51">
        <f t="shared" si="3"/>
        <v>0</v>
      </c>
      <c r="O64" s="29"/>
      <c r="P64" s="47"/>
      <c r="Q64" s="26"/>
      <c r="R64" s="25"/>
      <c r="S64" s="25"/>
      <c r="T64" s="25"/>
    </row>
    <row r="65" ht="30.75" customHeight="1" spans="1:20" x14ac:dyDescent="0.25">
      <c r="A65" s="26"/>
      <c r="B65" s="44"/>
      <c r="C65" s="45"/>
      <c r="D65" s="45"/>
      <c r="E65" s="46"/>
      <c r="F65" s="49"/>
      <c r="G65" s="44" t="s">
        <v>37</v>
      </c>
      <c r="H65" s="46"/>
      <c r="I65" s="49"/>
      <c r="J65" s="50"/>
      <c r="K65" s="50">
        <f t="shared" si="2"/>
        <v>0</v>
      </c>
      <c r="L65" s="51"/>
      <c r="M65" s="52"/>
      <c r="N65" s="51">
        <f t="shared" si="3"/>
        <v>0</v>
      </c>
      <c r="O65" s="29"/>
      <c r="P65" s="47"/>
      <c r="Q65" s="26"/>
      <c r="R65" s="25"/>
      <c r="S65" s="25"/>
      <c r="T65" s="25"/>
    </row>
    <row r="66" ht="30.75" customHeight="1" spans="1:20" x14ac:dyDescent="0.25">
      <c r="A66" s="26"/>
      <c r="B66" s="44"/>
      <c r="C66" s="45"/>
      <c r="D66" s="45"/>
      <c r="E66" s="46"/>
      <c r="F66" s="49"/>
      <c r="G66" s="44" t="s">
        <v>37</v>
      </c>
      <c r="H66" s="46"/>
      <c r="I66" s="49"/>
      <c r="J66" s="50"/>
      <c r="K66" s="50">
        <f t="shared" si="2"/>
        <v>0</v>
      </c>
      <c r="L66" s="51"/>
      <c r="M66" s="52"/>
      <c r="N66" s="51">
        <f t="shared" si="3"/>
        <v>0</v>
      </c>
      <c r="O66" s="29"/>
      <c r="P66" s="47"/>
      <c r="Q66" s="26"/>
      <c r="R66" s="25"/>
      <c r="S66" s="25"/>
      <c r="T66" s="25"/>
    </row>
    <row r="67" ht="30.75" customHeight="1" spans="1:20" x14ac:dyDescent="0.25">
      <c r="A67" s="26"/>
      <c r="B67" s="44"/>
      <c r="C67" s="45"/>
      <c r="D67" s="45"/>
      <c r="E67" s="46"/>
      <c r="F67" s="49"/>
      <c r="G67" s="44" t="s">
        <v>37</v>
      </c>
      <c r="H67" s="46"/>
      <c r="I67" s="49"/>
      <c r="J67" s="50"/>
      <c r="K67" s="50">
        <f t="shared" si="2"/>
        <v>0</v>
      </c>
      <c r="L67" s="51"/>
      <c r="M67" s="52"/>
      <c r="N67" s="51">
        <f t="shared" si="3"/>
        <v>0</v>
      </c>
      <c r="O67" s="29"/>
      <c r="P67" s="47"/>
      <c r="Q67" s="26"/>
      <c r="R67" s="25"/>
      <c r="S67" s="25"/>
      <c r="T67" s="25"/>
    </row>
    <row r="68" ht="30.75" customHeight="1" spans="1:20" x14ac:dyDescent="0.25">
      <c r="A68" s="26"/>
      <c r="B68" s="44"/>
      <c r="C68" s="45"/>
      <c r="D68" s="45"/>
      <c r="E68" s="46"/>
      <c r="F68" s="49"/>
      <c r="G68" s="44" t="s">
        <v>37</v>
      </c>
      <c r="H68" s="46"/>
      <c r="I68" s="49"/>
      <c r="J68" s="50"/>
      <c r="K68" s="50">
        <f t="shared" si="2"/>
        <v>0</v>
      </c>
      <c r="L68" s="51"/>
      <c r="M68" s="52"/>
      <c r="N68" s="51">
        <f t="shared" si="3"/>
        <v>0</v>
      </c>
      <c r="O68" s="29"/>
      <c r="P68" s="47"/>
      <c r="Q68" s="26"/>
      <c r="R68" s="25"/>
      <c r="S68" s="25"/>
      <c r="T68" s="25"/>
    </row>
    <row r="69" ht="30.75" customHeight="1" spans="1:20" x14ac:dyDescent="0.25">
      <c r="A69" s="26"/>
      <c r="B69" s="44"/>
      <c r="C69" s="45"/>
      <c r="D69" s="45"/>
      <c r="E69" s="46"/>
      <c r="F69" s="49"/>
      <c r="G69" s="44" t="s">
        <v>37</v>
      </c>
      <c r="H69" s="46"/>
      <c r="I69" s="49"/>
      <c r="J69" s="50"/>
      <c r="K69" s="50">
        <f t="shared" si="2"/>
        <v>0</v>
      </c>
      <c r="L69" s="51"/>
      <c r="M69" s="52"/>
      <c r="N69" s="51">
        <f t="shared" si="3"/>
        <v>0</v>
      </c>
      <c r="O69" s="29"/>
      <c r="P69" s="47"/>
      <c r="Q69" s="26"/>
      <c r="R69" s="25"/>
      <c r="S69" s="25"/>
      <c r="T69" s="25"/>
    </row>
    <row r="70" ht="30.75" customHeight="1" spans="1:20" x14ac:dyDescent="0.25">
      <c r="A70" s="26"/>
      <c r="B70" s="44"/>
      <c r="C70" s="45"/>
      <c r="D70" s="45"/>
      <c r="E70" s="46"/>
      <c r="F70" s="49"/>
      <c r="G70" s="44" t="s">
        <v>37</v>
      </c>
      <c r="H70" s="46"/>
      <c r="I70" s="49"/>
      <c r="J70" s="50"/>
      <c r="K70" s="50">
        <f t="shared" si="2"/>
        <v>0</v>
      </c>
      <c r="L70" s="51"/>
      <c r="M70" s="52"/>
      <c r="N70" s="51">
        <f t="shared" si="3"/>
        <v>0</v>
      </c>
      <c r="O70" s="29"/>
      <c r="P70" s="47"/>
      <c r="Q70" s="26"/>
      <c r="R70" s="25"/>
      <c r="S70" s="25"/>
      <c r="T70" s="25"/>
    </row>
    <row r="71" ht="30.75" customHeight="1" spans="1:20" x14ac:dyDescent="0.25">
      <c r="A71" s="26"/>
      <c r="B71" s="44"/>
      <c r="C71" s="45"/>
      <c r="D71" s="45"/>
      <c r="E71" s="46"/>
      <c r="F71" s="49"/>
      <c r="G71" s="44" t="s">
        <v>37</v>
      </c>
      <c r="H71" s="46"/>
      <c r="I71" s="49"/>
      <c r="J71" s="50"/>
      <c r="K71" s="50">
        <f t="shared" si="2"/>
        <v>0</v>
      </c>
      <c r="L71" s="51"/>
      <c r="M71" s="52"/>
      <c r="N71" s="51">
        <f t="shared" si="3"/>
        <v>0</v>
      </c>
      <c r="O71" s="29"/>
      <c r="P71" s="47"/>
      <c r="Q71" s="26"/>
      <c r="R71" s="25"/>
      <c r="S71" s="25"/>
      <c r="T71" s="25"/>
    </row>
    <row r="72" ht="30.75" customHeight="1" spans="1:20" x14ac:dyDescent="0.25">
      <c r="A72" s="26"/>
      <c r="B72" s="44"/>
      <c r="C72" s="45"/>
      <c r="D72" s="45"/>
      <c r="E72" s="46"/>
      <c r="F72" s="49"/>
      <c r="G72" s="44" t="s">
        <v>37</v>
      </c>
      <c r="H72" s="46"/>
      <c r="I72" s="49"/>
      <c r="J72" s="50"/>
      <c r="K72" s="50">
        <f t="shared" si="2"/>
        <v>0</v>
      </c>
      <c r="L72" s="51"/>
      <c r="M72" s="52"/>
      <c r="N72" s="51">
        <f t="shared" si="3"/>
        <v>0</v>
      </c>
      <c r="O72" s="29"/>
      <c r="P72" s="47"/>
      <c r="Q72" s="26"/>
      <c r="R72" s="25"/>
      <c r="S72" s="25"/>
      <c r="T72" s="25"/>
    </row>
    <row r="73" ht="30.75" customHeight="1" spans="1:20" x14ac:dyDescent="0.25">
      <c r="A73" s="26"/>
      <c r="B73" s="44"/>
      <c r="C73" s="45"/>
      <c r="D73" s="45"/>
      <c r="E73" s="46"/>
      <c r="F73" s="49"/>
      <c r="G73" s="44" t="s">
        <v>37</v>
      </c>
      <c r="H73" s="46"/>
      <c r="I73" s="49"/>
      <c r="J73" s="50"/>
      <c r="K73" s="50">
        <f t="shared" si="2"/>
        <v>0</v>
      </c>
      <c r="L73" s="38"/>
      <c r="M73" s="53"/>
      <c r="N73" s="51">
        <f t="shared" si="3"/>
        <v>0</v>
      </c>
      <c r="O73" s="29"/>
      <c r="P73" s="47"/>
      <c r="Q73" s="26"/>
      <c r="R73" s="25"/>
      <c r="S73" s="25"/>
      <c r="T73" s="25"/>
    </row>
    <row r="74" ht="26.25" customHeight="1" spans="1:20" x14ac:dyDescent="0.25">
      <c r="A74" s="26"/>
      <c r="B74" s="44" t="s">
        <v>25</v>
      </c>
      <c r="C74" s="45"/>
      <c r="D74" s="45"/>
      <c r="E74" s="45"/>
      <c r="F74" s="45"/>
      <c r="G74" s="45"/>
      <c r="H74" s="45"/>
      <c r="I74" s="45"/>
      <c r="J74" s="45"/>
      <c r="K74" s="54">
        <f>SUM(K49:K73)</f>
        <v>0</v>
      </c>
      <c r="L74" s="55"/>
      <c r="M74" s="56"/>
      <c r="N74" s="57">
        <f>SUM(N49:N73)</f>
        <v>0</v>
      </c>
      <c r="O74" s="29"/>
      <c r="P74" s="29"/>
      <c r="Q74" s="26"/>
      <c r="R74" s="25"/>
      <c r="S74" s="25"/>
      <c r="T74" s="25"/>
    </row>
    <row r="75" ht="15" customHeight="1" spans="1:20" x14ac:dyDescent="0.25">
      <c r="A75" s="26"/>
      <c r="B75" s="26"/>
      <c r="C75" s="26"/>
      <c r="D75" s="26"/>
      <c r="E75" s="27" t="s">
        <v>7</v>
      </c>
      <c r="F75" s="27"/>
      <c r="G75" s="27"/>
      <c r="H75" s="27"/>
      <c r="I75" s="27"/>
      <c r="J75" s="27"/>
      <c r="K75" s="28" t="s">
        <v>8</v>
      </c>
      <c r="L75" s="28">
        <v>3</v>
      </c>
      <c r="M75" s="28"/>
      <c r="N75" s="28"/>
      <c r="O75" s="26"/>
      <c r="P75" s="26"/>
      <c r="Q75" s="26"/>
      <c r="R75" s="25"/>
      <c r="S75" s="25"/>
      <c r="T75" s="25"/>
    </row>
    <row r="76" ht="15" customHeight="1" spans="1:20" x14ac:dyDescent="0.25">
      <c r="A76" s="26"/>
      <c r="B76" s="26"/>
      <c r="C76" s="26"/>
      <c r="D76" s="26"/>
      <c r="E76" s="27"/>
      <c r="F76" s="27"/>
      <c r="G76" s="27"/>
      <c r="H76" s="27"/>
      <c r="I76" s="27"/>
      <c r="J76" s="27"/>
      <c r="K76" s="26"/>
      <c r="L76" s="26"/>
      <c r="M76" s="26"/>
      <c r="N76" s="26"/>
      <c r="O76" s="26"/>
      <c r="P76" s="26"/>
      <c r="Q76" s="26"/>
      <c r="R76" s="25"/>
      <c r="S76" s="25"/>
      <c r="T76" s="25"/>
    </row>
    <row r="77" ht="15" customHeight="1" spans="1:20" x14ac:dyDescent="0.25">
      <c r="A77" s="26"/>
      <c r="B77" s="26"/>
      <c r="C77" s="26"/>
      <c r="D77" s="26"/>
      <c r="E77" s="27"/>
      <c r="F77" s="27"/>
      <c r="G77" s="27"/>
      <c r="H77" s="27"/>
      <c r="I77" s="27"/>
      <c r="J77" s="27"/>
      <c r="K77" s="26"/>
      <c r="L77" s="26"/>
      <c r="M77" s="26"/>
      <c r="N77" s="26"/>
      <c r="O77" s="26"/>
      <c r="P77" s="26"/>
      <c r="Q77" s="26"/>
      <c r="R77" s="25"/>
      <c r="S77" s="25"/>
      <c r="T77" s="25"/>
    </row>
    <row r="78" ht="15" customHeight="1" spans="1:20" x14ac:dyDescent="0.25">
      <c r="A78" s="26"/>
      <c r="B78" s="26"/>
      <c r="C78" s="26"/>
      <c r="D78" s="26"/>
      <c r="E78" s="26"/>
      <c r="F78" s="26"/>
      <c r="G78" s="26"/>
      <c r="H78" s="26"/>
      <c r="I78" s="29"/>
      <c r="J78" s="29"/>
      <c r="K78" s="30" t="s">
        <v>9</v>
      </c>
      <c r="L78" s="31" t="s">
        <v>9</v>
      </c>
      <c r="M78" s="32"/>
      <c r="N78" s="30" t="s">
        <v>26</v>
      </c>
      <c r="O78" s="29"/>
      <c r="P78" s="29"/>
      <c r="Q78" s="26"/>
      <c r="R78" s="25"/>
      <c r="S78" s="25"/>
      <c r="T78" s="25"/>
    </row>
    <row r="79" ht="15" customHeight="1" spans="1:20" x14ac:dyDescent="0.25">
      <c r="A79" s="26"/>
      <c r="B79" s="26" t="s">
        <v>10</v>
      </c>
      <c r="C79" s="28" t="s">
        <v>27</v>
      </c>
      <c r="D79" s="26"/>
      <c r="E79" s="26"/>
      <c r="F79" s="26"/>
      <c r="G79" s="26"/>
      <c r="H79" s="26"/>
      <c r="I79" s="29"/>
      <c r="J79" s="29"/>
      <c r="K79" s="33" t="s">
        <v>12</v>
      </c>
      <c r="L79" s="34" t="s">
        <v>11</v>
      </c>
      <c r="M79" s="35"/>
      <c r="N79" s="33"/>
      <c r="O79" s="29"/>
      <c r="P79" s="29"/>
      <c r="Q79" s="26"/>
      <c r="R79" s="25"/>
      <c r="S79" s="25"/>
      <c r="T79" s="25"/>
    </row>
    <row r="80" ht="15" customHeight="1" spans="1:20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6"/>
      <c r="L80" s="37"/>
      <c r="M80" s="38"/>
      <c r="N80" s="39"/>
      <c r="O80" s="26"/>
      <c r="P80" s="26"/>
      <c r="Q80" s="26"/>
      <c r="R80" s="25"/>
      <c r="S80" s="25"/>
      <c r="T80" s="25"/>
    </row>
    <row r="81" ht="15" customHeight="1" spans="1:20" x14ac:dyDescent="0.25">
      <c r="A81" s="26"/>
      <c r="B81" s="26" t="s">
        <v>13</v>
      </c>
      <c r="C81" s="28" t="s">
        <v>78</v>
      </c>
      <c r="D81" s="26"/>
      <c r="E81" s="28" t="s">
        <v>14</v>
      </c>
      <c r="F81" s="40" t="str">
        <f>F7</f>
        <v>         2026年 　　2月28日</v>
      </c>
      <c r="G81" s="40"/>
      <c r="H81" s="26"/>
      <c r="I81" s="26"/>
      <c r="J81" s="26"/>
      <c r="K81" s="36"/>
      <c r="L81" s="36"/>
      <c r="M81" s="39"/>
      <c r="N81" s="39"/>
      <c r="O81" s="26"/>
      <c r="P81" s="26"/>
      <c r="Q81" s="26"/>
      <c r="R81" s="25"/>
      <c r="S81" s="25"/>
      <c r="T81" s="25"/>
    </row>
    <row r="82" ht="15" customHeight="1" spans="1:20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6"/>
      <c r="L82" s="36"/>
      <c r="M82" s="39"/>
      <c r="N82" s="39"/>
      <c r="O82" s="26"/>
      <c r="P82" s="26"/>
      <c r="Q82" s="26"/>
      <c r="R82" s="25"/>
      <c r="S82" s="25"/>
      <c r="T82" s="25"/>
    </row>
    <row r="83" ht="15" customHeight="1" spans="1:20" x14ac:dyDescent="0.25">
      <c r="A83" s="26"/>
      <c r="B83" s="26" t="s">
        <v>16</v>
      </c>
      <c r="C83" s="41" t="s">
        <v>93</v>
      </c>
      <c r="D83" s="26"/>
      <c r="E83" s="40" t="s">
        <v>31</v>
      </c>
      <c r="F83" s="28"/>
      <c r="G83" s="28"/>
      <c r="H83" s="26"/>
      <c r="I83" s="26"/>
      <c r="J83" s="26"/>
      <c r="K83" s="42"/>
      <c r="L83" s="42"/>
      <c r="M83" s="43"/>
      <c r="N83" s="43"/>
      <c r="O83" s="26"/>
      <c r="P83" s="26"/>
      <c r="Q83" s="26"/>
      <c r="R83" s="25"/>
      <c r="S83" s="25"/>
      <c r="T83" s="25"/>
    </row>
    <row r="84" spans="1:20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5"/>
      <c r="S84" s="25"/>
      <c r="T84" s="25"/>
    </row>
    <row r="85" ht="24" customHeight="1" spans="1:20" x14ac:dyDescent="0.25">
      <c r="A85" s="26"/>
      <c r="B85" s="44" t="s">
        <v>19</v>
      </c>
      <c r="C85" s="45"/>
      <c r="D85" s="45"/>
      <c r="E85" s="46"/>
      <c r="F85" s="47" t="s">
        <v>20</v>
      </c>
      <c r="G85" s="44" t="s">
        <v>21</v>
      </c>
      <c r="H85" s="46"/>
      <c r="I85" s="47" t="s">
        <v>32</v>
      </c>
      <c r="J85" s="44" t="s">
        <v>22</v>
      </c>
      <c r="K85" s="44" t="s">
        <v>33</v>
      </c>
      <c r="L85" s="46"/>
      <c r="M85" s="44" t="s">
        <v>34</v>
      </c>
      <c r="N85" s="46"/>
      <c r="O85" s="29"/>
      <c r="P85" s="48" t="s">
        <v>35</v>
      </c>
      <c r="Q85" s="26"/>
      <c r="R85" s="25"/>
      <c r="S85" s="25"/>
      <c r="T85" s="25"/>
    </row>
    <row r="86" ht="30.75" customHeight="1" spans="1:20" x14ac:dyDescent="0.25">
      <c r="A86" s="26"/>
      <c r="B86" s="44"/>
      <c r="C86" s="45"/>
      <c r="D86" s="45"/>
      <c r="E86" s="46"/>
      <c r="F86" s="49"/>
      <c r="G86" s="44" t="s">
        <v>37</v>
      </c>
      <c r="H86" s="46"/>
      <c r="I86" s="49"/>
      <c r="J86" s="50"/>
      <c r="K86" s="50">
        <f>F86*I86</f>
        <v>0</v>
      </c>
      <c r="L86" s="51"/>
      <c r="M86" s="45"/>
      <c r="N86" s="51">
        <f>F86*J86</f>
        <v>0</v>
      </c>
      <c r="O86" s="29"/>
      <c r="P86" s="47"/>
      <c r="Q86" s="26"/>
      <c r="R86" s="25"/>
      <c r="S86" s="25"/>
      <c r="T86" s="25"/>
    </row>
    <row r="87" ht="30.75" customHeight="1" spans="1:20" x14ac:dyDescent="0.25">
      <c r="A87" s="26"/>
      <c r="B87" s="44"/>
      <c r="C87" s="45"/>
      <c r="D87" s="45"/>
      <c r="E87" s="46"/>
      <c r="F87" s="49"/>
      <c r="G87" s="44" t="s">
        <v>37</v>
      </c>
      <c r="H87" s="46"/>
      <c r="I87" s="49"/>
      <c r="J87" s="50"/>
      <c r="K87" s="50">
        <f t="shared" ref="K87:K110" si="4">F87*I87</f>
        <v>0</v>
      </c>
      <c r="L87" s="51"/>
      <c r="M87" s="52"/>
      <c r="N87" s="51">
        <f t="shared" ref="N87:N110" si="5">F87*J87</f>
        <v>0</v>
      </c>
      <c r="O87" s="29"/>
      <c r="P87" s="47"/>
      <c r="Q87" s="26"/>
      <c r="R87" s="25"/>
      <c r="S87" s="25"/>
      <c r="T87" s="25"/>
    </row>
    <row r="88" ht="30.75" customHeight="1" spans="1:20" x14ac:dyDescent="0.25">
      <c r="A88" s="26"/>
      <c r="B88" s="44"/>
      <c r="C88" s="45"/>
      <c r="D88" s="45"/>
      <c r="E88" s="46"/>
      <c r="F88" s="49"/>
      <c r="G88" s="44" t="s">
        <v>37</v>
      </c>
      <c r="H88" s="46"/>
      <c r="I88" s="49"/>
      <c r="J88" s="50"/>
      <c r="K88" s="50">
        <f t="shared" si="4"/>
        <v>0</v>
      </c>
      <c r="L88" s="51"/>
      <c r="M88" s="52"/>
      <c r="N88" s="51">
        <f t="shared" si="5"/>
        <v>0</v>
      </c>
      <c r="O88" s="29"/>
      <c r="P88" s="47"/>
      <c r="Q88" s="26"/>
      <c r="R88" s="25"/>
      <c r="S88" s="25"/>
      <c r="T88" s="25"/>
    </row>
    <row r="89" ht="30.75" customHeight="1" spans="1:20" x14ac:dyDescent="0.25">
      <c r="A89" s="26"/>
      <c r="B89" s="44"/>
      <c r="C89" s="45"/>
      <c r="D89" s="45"/>
      <c r="E89" s="46"/>
      <c r="F89" s="49"/>
      <c r="G89" s="44" t="s">
        <v>37</v>
      </c>
      <c r="H89" s="46"/>
      <c r="I89" s="49"/>
      <c r="J89" s="50"/>
      <c r="K89" s="50">
        <f t="shared" si="4"/>
        <v>0</v>
      </c>
      <c r="L89" s="51"/>
      <c r="M89" s="52"/>
      <c r="N89" s="51">
        <f t="shared" si="5"/>
        <v>0</v>
      </c>
      <c r="O89" s="29"/>
      <c r="P89" s="47"/>
      <c r="Q89" s="26"/>
      <c r="R89" s="25"/>
      <c r="S89" s="25"/>
      <c r="T89" s="25"/>
    </row>
    <row r="90" ht="30.75" customHeight="1" spans="1:20" x14ac:dyDescent="0.25">
      <c r="A90" s="26"/>
      <c r="B90" s="44"/>
      <c r="C90" s="45"/>
      <c r="D90" s="45"/>
      <c r="E90" s="46"/>
      <c r="F90" s="49"/>
      <c r="G90" s="44" t="s">
        <v>37</v>
      </c>
      <c r="H90" s="46"/>
      <c r="I90" s="49"/>
      <c r="J90" s="50"/>
      <c r="K90" s="50">
        <f t="shared" si="4"/>
        <v>0</v>
      </c>
      <c r="L90" s="51"/>
      <c r="M90" s="52"/>
      <c r="N90" s="51">
        <f t="shared" si="5"/>
        <v>0</v>
      </c>
      <c r="O90" s="29"/>
      <c r="P90" s="47"/>
      <c r="Q90" s="26"/>
      <c r="R90" s="25"/>
      <c r="S90" s="25"/>
      <c r="T90" s="25"/>
    </row>
    <row r="91" ht="30.75" customHeight="1" spans="1:20" x14ac:dyDescent="0.25">
      <c r="A91" s="26"/>
      <c r="B91" s="44"/>
      <c r="C91" s="45"/>
      <c r="D91" s="45"/>
      <c r="E91" s="46"/>
      <c r="F91" s="49"/>
      <c r="G91" s="44" t="s">
        <v>37</v>
      </c>
      <c r="H91" s="46"/>
      <c r="I91" s="49"/>
      <c r="J91" s="50"/>
      <c r="K91" s="50">
        <f t="shared" si="4"/>
        <v>0</v>
      </c>
      <c r="L91" s="51"/>
      <c r="M91" s="52"/>
      <c r="N91" s="51">
        <f t="shared" si="5"/>
        <v>0</v>
      </c>
      <c r="O91" s="29"/>
      <c r="P91" s="47"/>
      <c r="Q91" s="26"/>
      <c r="R91" s="25"/>
      <c r="S91" s="25"/>
      <c r="T91" s="25"/>
    </row>
    <row r="92" ht="30.75" customHeight="1" spans="1:20" x14ac:dyDescent="0.25">
      <c r="A92" s="26"/>
      <c r="B92" s="44"/>
      <c r="C92" s="45"/>
      <c r="D92" s="45"/>
      <c r="E92" s="46"/>
      <c r="F92" s="49"/>
      <c r="G92" s="44" t="s">
        <v>37</v>
      </c>
      <c r="H92" s="46"/>
      <c r="I92" s="49"/>
      <c r="J92" s="50"/>
      <c r="K92" s="50">
        <f t="shared" si="4"/>
        <v>0</v>
      </c>
      <c r="L92" s="51"/>
      <c r="M92" s="52"/>
      <c r="N92" s="51">
        <f t="shared" si="5"/>
        <v>0</v>
      </c>
      <c r="O92" s="29"/>
      <c r="P92" s="47"/>
      <c r="Q92" s="26"/>
      <c r="R92" s="25"/>
      <c r="S92" s="25"/>
      <c r="T92" s="25"/>
    </row>
    <row r="93" ht="30.75" customHeight="1" spans="1:20" x14ac:dyDescent="0.25">
      <c r="A93" s="26"/>
      <c r="B93" s="44"/>
      <c r="C93" s="45"/>
      <c r="D93" s="45"/>
      <c r="E93" s="46"/>
      <c r="F93" s="49"/>
      <c r="G93" s="44" t="s">
        <v>37</v>
      </c>
      <c r="H93" s="46"/>
      <c r="I93" s="49"/>
      <c r="J93" s="50"/>
      <c r="K93" s="50">
        <f t="shared" si="4"/>
        <v>0</v>
      </c>
      <c r="L93" s="51"/>
      <c r="M93" s="52"/>
      <c r="N93" s="51">
        <f t="shared" si="5"/>
        <v>0</v>
      </c>
      <c r="O93" s="29"/>
      <c r="P93" s="47"/>
      <c r="Q93" s="26"/>
      <c r="R93" s="25"/>
      <c r="S93" s="25"/>
      <c r="T93" s="25"/>
    </row>
    <row r="94" ht="30.75" customHeight="1" spans="1:20" x14ac:dyDescent="0.25">
      <c r="A94" s="26"/>
      <c r="B94" s="44"/>
      <c r="C94" s="45"/>
      <c r="D94" s="45"/>
      <c r="E94" s="46"/>
      <c r="F94" s="49"/>
      <c r="G94" s="44" t="s">
        <v>37</v>
      </c>
      <c r="H94" s="46"/>
      <c r="I94" s="49"/>
      <c r="J94" s="50"/>
      <c r="K94" s="50">
        <f t="shared" si="4"/>
        <v>0</v>
      </c>
      <c r="L94" s="51"/>
      <c r="M94" s="52"/>
      <c r="N94" s="51">
        <f t="shared" si="5"/>
        <v>0</v>
      </c>
      <c r="O94" s="29"/>
      <c r="P94" s="47"/>
      <c r="Q94" s="26"/>
      <c r="R94" s="25"/>
      <c r="S94" s="25"/>
      <c r="T94" s="25"/>
    </row>
    <row r="95" ht="30.75" customHeight="1" spans="1:20" x14ac:dyDescent="0.25">
      <c r="A95" s="26"/>
      <c r="B95" s="44"/>
      <c r="C95" s="45"/>
      <c r="D95" s="45"/>
      <c r="E95" s="46"/>
      <c r="F95" s="49"/>
      <c r="G95" s="44" t="s">
        <v>37</v>
      </c>
      <c r="H95" s="46"/>
      <c r="I95" s="49"/>
      <c r="J95" s="50"/>
      <c r="K95" s="50">
        <f t="shared" si="4"/>
        <v>0</v>
      </c>
      <c r="L95" s="51"/>
      <c r="M95" s="52"/>
      <c r="N95" s="51">
        <f t="shared" si="5"/>
        <v>0</v>
      </c>
      <c r="O95" s="29"/>
      <c r="P95" s="47"/>
      <c r="Q95" s="26"/>
      <c r="R95" s="25"/>
      <c r="S95" s="25"/>
      <c r="T95" s="25"/>
    </row>
    <row r="96" ht="30.75" customHeight="1" spans="1:20" x14ac:dyDescent="0.25">
      <c r="A96" s="26"/>
      <c r="B96" s="44"/>
      <c r="C96" s="45"/>
      <c r="D96" s="45"/>
      <c r="E96" s="46"/>
      <c r="F96" s="49"/>
      <c r="G96" s="44" t="s">
        <v>37</v>
      </c>
      <c r="H96" s="46"/>
      <c r="I96" s="49"/>
      <c r="J96" s="50"/>
      <c r="K96" s="50">
        <f t="shared" si="4"/>
        <v>0</v>
      </c>
      <c r="L96" s="51"/>
      <c r="M96" s="52"/>
      <c r="N96" s="51">
        <f t="shared" si="5"/>
        <v>0</v>
      </c>
      <c r="O96" s="29"/>
      <c r="P96" s="47"/>
      <c r="Q96" s="26"/>
      <c r="R96" s="25"/>
      <c r="S96" s="25"/>
      <c r="T96" s="25"/>
    </row>
    <row r="97" ht="30.75" customHeight="1" spans="1:20" x14ac:dyDescent="0.25">
      <c r="A97" s="26"/>
      <c r="B97" s="44"/>
      <c r="C97" s="45"/>
      <c r="D97" s="45"/>
      <c r="E97" s="46"/>
      <c r="F97" s="49"/>
      <c r="G97" s="44" t="s">
        <v>37</v>
      </c>
      <c r="H97" s="46"/>
      <c r="I97" s="49"/>
      <c r="J97" s="50"/>
      <c r="K97" s="50">
        <f t="shared" si="4"/>
        <v>0</v>
      </c>
      <c r="L97" s="51"/>
      <c r="M97" s="52"/>
      <c r="N97" s="51">
        <f t="shared" si="5"/>
        <v>0</v>
      </c>
      <c r="O97" s="29"/>
      <c r="P97" s="47"/>
      <c r="Q97" s="26"/>
      <c r="R97" s="25"/>
      <c r="S97" s="25"/>
      <c r="T97" s="25"/>
    </row>
    <row r="98" ht="30.75" customHeight="1" spans="1:20" x14ac:dyDescent="0.25">
      <c r="A98" s="26"/>
      <c r="B98" s="44"/>
      <c r="C98" s="45"/>
      <c r="D98" s="45"/>
      <c r="E98" s="46"/>
      <c r="F98" s="49"/>
      <c r="G98" s="44" t="s">
        <v>37</v>
      </c>
      <c r="H98" s="46"/>
      <c r="I98" s="49"/>
      <c r="J98" s="50"/>
      <c r="K98" s="50">
        <f t="shared" si="4"/>
        <v>0</v>
      </c>
      <c r="L98" s="51"/>
      <c r="M98" s="52"/>
      <c r="N98" s="51">
        <f t="shared" si="5"/>
        <v>0</v>
      </c>
      <c r="O98" s="29"/>
      <c r="P98" s="47"/>
      <c r="Q98" s="26"/>
      <c r="R98" s="25"/>
      <c r="S98" s="25"/>
      <c r="T98" s="25"/>
    </row>
    <row r="99" ht="30.75" customHeight="1" spans="1:20" x14ac:dyDescent="0.25">
      <c r="A99" s="26"/>
      <c r="B99" s="44"/>
      <c r="C99" s="45"/>
      <c r="D99" s="45"/>
      <c r="E99" s="46"/>
      <c r="F99" s="49"/>
      <c r="G99" s="44" t="s">
        <v>37</v>
      </c>
      <c r="H99" s="46"/>
      <c r="I99" s="49"/>
      <c r="J99" s="50"/>
      <c r="K99" s="50">
        <f t="shared" si="4"/>
        <v>0</v>
      </c>
      <c r="L99" s="51"/>
      <c r="M99" s="52"/>
      <c r="N99" s="51">
        <f t="shared" si="5"/>
        <v>0</v>
      </c>
      <c r="O99" s="29"/>
      <c r="P99" s="47"/>
      <c r="Q99" s="26"/>
      <c r="R99" s="25"/>
      <c r="S99" s="25"/>
      <c r="T99" s="25"/>
    </row>
    <row r="100" ht="30.75" customHeight="1" spans="1:20" x14ac:dyDescent="0.25">
      <c r="A100" s="26"/>
      <c r="B100" s="44"/>
      <c r="C100" s="45"/>
      <c r="D100" s="45"/>
      <c r="E100" s="46"/>
      <c r="F100" s="49"/>
      <c r="G100" s="44" t="s">
        <v>37</v>
      </c>
      <c r="H100" s="46"/>
      <c r="I100" s="49"/>
      <c r="J100" s="50"/>
      <c r="K100" s="50">
        <f t="shared" si="4"/>
        <v>0</v>
      </c>
      <c r="L100" s="51"/>
      <c r="M100" s="52"/>
      <c r="N100" s="51">
        <f t="shared" si="5"/>
        <v>0</v>
      </c>
      <c r="O100" s="29"/>
      <c r="P100" s="47"/>
      <c r="Q100" s="26"/>
      <c r="R100" s="25"/>
      <c r="S100" s="25"/>
      <c r="T100" s="25"/>
    </row>
    <row r="101" ht="30.75" customHeight="1" spans="1:20" x14ac:dyDescent="0.25">
      <c r="A101" s="26"/>
      <c r="B101" s="44"/>
      <c r="C101" s="45"/>
      <c r="D101" s="45"/>
      <c r="E101" s="46"/>
      <c r="F101" s="49"/>
      <c r="G101" s="44" t="s">
        <v>37</v>
      </c>
      <c r="H101" s="46"/>
      <c r="I101" s="49"/>
      <c r="J101" s="50"/>
      <c r="K101" s="50">
        <f t="shared" si="4"/>
        <v>0</v>
      </c>
      <c r="L101" s="51"/>
      <c r="M101" s="52"/>
      <c r="N101" s="51">
        <f t="shared" si="5"/>
        <v>0</v>
      </c>
      <c r="O101" s="29"/>
      <c r="P101" s="47"/>
      <c r="Q101" s="26"/>
      <c r="R101" s="25"/>
      <c r="S101" s="25"/>
      <c r="T101" s="25"/>
    </row>
    <row r="102" ht="30.75" customHeight="1" spans="1:20" x14ac:dyDescent="0.25">
      <c r="A102" s="26"/>
      <c r="B102" s="44"/>
      <c r="C102" s="45"/>
      <c r="D102" s="45"/>
      <c r="E102" s="46"/>
      <c r="F102" s="49"/>
      <c r="G102" s="44" t="s">
        <v>37</v>
      </c>
      <c r="H102" s="46"/>
      <c r="I102" s="49"/>
      <c r="J102" s="50"/>
      <c r="K102" s="50">
        <f t="shared" si="4"/>
        <v>0</v>
      </c>
      <c r="L102" s="51"/>
      <c r="M102" s="52"/>
      <c r="N102" s="51">
        <f t="shared" si="5"/>
        <v>0</v>
      </c>
      <c r="O102" s="29"/>
      <c r="P102" s="47"/>
      <c r="Q102" s="26"/>
      <c r="R102" s="25"/>
      <c r="S102" s="25"/>
      <c r="T102" s="25"/>
    </row>
    <row r="103" ht="30.75" customHeight="1" spans="1:20" x14ac:dyDescent="0.25">
      <c r="A103" s="26"/>
      <c r="B103" s="44"/>
      <c r="C103" s="45"/>
      <c r="D103" s="45"/>
      <c r="E103" s="46"/>
      <c r="F103" s="49"/>
      <c r="G103" s="44" t="s">
        <v>37</v>
      </c>
      <c r="H103" s="46"/>
      <c r="I103" s="49"/>
      <c r="J103" s="50"/>
      <c r="K103" s="50">
        <f t="shared" si="4"/>
        <v>0</v>
      </c>
      <c r="L103" s="51"/>
      <c r="M103" s="52"/>
      <c r="N103" s="51">
        <f t="shared" si="5"/>
        <v>0</v>
      </c>
      <c r="O103" s="29"/>
      <c r="P103" s="47"/>
      <c r="Q103" s="26"/>
      <c r="R103" s="25"/>
      <c r="S103" s="25"/>
      <c r="T103" s="25"/>
    </row>
    <row r="104" ht="30.75" customHeight="1" spans="1:20" x14ac:dyDescent="0.25">
      <c r="A104" s="26"/>
      <c r="B104" s="44"/>
      <c r="C104" s="45"/>
      <c r="D104" s="45"/>
      <c r="E104" s="46"/>
      <c r="F104" s="49"/>
      <c r="G104" s="44" t="s">
        <v>37</v>
      </c>
      <c r="H104" s="46"/>
      <c r="I104" s="49"/>
      <c r="J104" s="50"/>
      <c r="K104" s="50">
        <f t="shared" si="4"/>
        <v>0</v>
      </c>
      <c r="L104" s="51"/>
      <c r="M104" s="52"/>
      <c r="N104" s="51">
        <f t="shared" si="5"/>
        <v>0</v>
      </c>
      <c r="O104" s="29"/>
      <c r="P104" s="47"/>
      <c r="Q104" s="26"/>
      <c r="R104" s="25"/>
      <c r="S104" s="25"/>
      <c r="T104" s="25"/>
    </row>
    <row r="105" ht="30.75" customHeight="1" spans="1:20" x14ac:dyDescent="0.25">
      <c r="A105" s="26"/>
      <c r="B105" s="44"/>
      <c r="C105" s="45"/>
      <c r="D105" s="45"/>
      <c r="E105" s="46"/>
      <c r="F105" s="49"/>
      <c r="G105" s="44" t="s">
        <v>37</v>
      </c>
      <c r="H105" s="46"/>
      <c r="I105" s="49"/>
      <c r="J105" s="50"/>
      <c r="K105" s="50">
        <f t="shared" si="4"/>
        <v>0</v>
      </c>
      <c r="L105" s="51"/>
      <c r="M105" s="52"/>
      <c r="N105" s="51">
        <f t="shared" si="5"/>
        <v>0</v>
      </c>
      <c r="O105" s="29"/>
      <c r="P105" s="47"/>
      <c r="Q105" s="26"/>
      <c r="R105" s="25"/>
      <c r="S105" s="25"/>
      <c r="T105" s="25"/>
    </row>
    <row r="106" ht="30.75" customHeight="1" spans="1:20" x14ac:dyDescent="0.25">
      <c r="A106" s="26"/>
      <c r="B106" s="44"/>
      <c r="C106" s="45"/>
      <c r="D106" s="45"/>
      <c r="E106" s="46"/>
      <c r="F106" s="49"/>
      <c r="G106" s="44" t="s">
        <v>37</v>
      </c>
      <c r="H106" s="46"/>
      <c r="I106" s="49"/>
      <c r="J106" s="50"/>
      <c r="K106" s="50">
        <f t="shared" si="4"/>
        <v>0</v>
      </c>
      <c r="L106" s="51"/>
      <c r="M106" s="52"/>
      <c r="N106" s="51">
        <f t="shared" si="5"/>
        <v>0</v>
      </c>
      <c r="O106" s="29"/>
      <c r="P106" s="47"/>
      <c r="Q106" s="26"/>
      <c r="R106" s="25"/>
      <c r="S106" s="25"/>
      <c r="T106" s="25"/>
    </row>
    <row r="107" ht="30.75" customHeight="1" spans="1:20" x14ac:dyDescent="0.25">
      <c r="A107" s="26"/>
      <c r="B107" s="44"/>
      <c r="C107" s="45"/>
      <c r="D107" s="45"/>
      <c r="E107" s="46"/>
      <c r="F107" s="49"/>
      <c r="G107" s="44" t="s">
        <v>37</v>
      </c>
      <c r="H107" s="46"/>
      <c r="I107" s="49"/>
      <c r="J107" s="50"/>
      <c r="K107" s="50">
        <f t="shared" si="4"/>
        <v>0</v>
      </c>
      <c r="L107" s="51"/>
      <c r="M107" s="52"/>
      <c r="N107" s="51">
        <f t="shared" si="5"/>
        <v>0</v>
      </c>
      <c r="O107" s="29"/>
      <c r="P107" s="47"/>
      <c r="Q107" s="26"/>
      <c r="R107" s="25"/>
      <c r="S107" s="25"/>
      <c r="T107" s="25"/>
    </row>
    <row r="108" ht="30.75" customHeight="1" spans="1:20" x14ac:dyDescent="0.25">
      <c r="A108" s="26"/>
      <c r="B108" s="44"/>
      <c r="C108" s="45"/>
      <c r="D108" s="45"/>
      <c r="E108" s="46"/>
      <c r="F108" s="49"/>
      <c r="G108" s="44" t="s">
        <v>37</v>
      </c>
      <c r="H108" s="46"/>
      <c r="I108" s="49"/>
      <c r="J108" s="50"/>
      <c r="K108" s="50">
        <f t="shared" si="4"/>
        <v>0</v>
      </c>
      <c r="L108" s="51"/>
      <c r="M108" s="52"/>
      <c r="N108" s="51">
        <f t="shared" si="5"/>
        <v>0</v>
      </c>
      <c r="O108" s="29"/>
      <c r="P108" s="47"/>
      <c r="Q108" s="26"/>
      <c r="R108" s="25"/>
      <c r="S108" s="25"/>
      <c r="T108" s="25"/>
    </row>
    <row r="109" ht="30.75" customHeight="1" spans="1:20" x14ac:dyDescent="0.25">
      <c r="A109" s="26"/>
      <c r="B109" s="44"/>
      <c r="C109" s="45"/>
      <c r="D109" s="45"/>
      <c r="E109" s="46"/>
      <c r="F109" s="49"/>
      <c r="G109" s="44" t="s">
        <v>37</v>
      </c>
      <c r="H109" s="46"/>
      <c r="I109" s="49"/>
      <c r="J109" s="50"/>
      <c r="K109" s="50">
        <f t="shared" si="4"/>
        <v>0</v>
      </c>
      <c r="L109" s="51"/>
      <c r="M109" s="52"/>
      <c r="N109" s="51">
        <f t="shared" si="5"/>
        <v>0</v>
      </c>
      <c r="O109" s="29"/>
      <c r="P109" s="47"/>
      <c r="Q109" s="26"/>
      <c r="R109" s="25"/>
      <c r="S109" s="25"/>
      <c r="T109" s="25"/>
    </row>
    <row r="110" ht="30.75" customHeight="1" spans="1:20" x14ac:dyDescent="0.25">
      <c r="A110" s="26"/>
      <c r="B110" s="44"/>
      <c r="C110" s="45"/>
      <c r="D110" s="45"/>
      <c r="E110" s="46"/>
      <c r="F110" s="49"/>
      <c r="G110" s="44" t="s">
        <v>37</v>
      </c>
      <c r="H110" s="46"/>
      <c r="I110" s="49"/>
      <c r="J110" s="50"/>
      <c r="K110" s="50">
        <f t="shared" si="4"/>
        <v>0</v>
      </c>
      <c r="L110" s="38"/>
      <c r="M110" s="53"/>
      <c r="N110" s="51">
        <f t="shared" si="5"/>
        <v>0</v>
      </c>
      <c r="O110" s="29"/>
      <c r="P110" s="47"/>
      <c r="Q110" s="26"/>
      <c r="R110" s="25"/>
      <c r="S110" s="25"/>
      <c r="T110" s="25"/>
    </row>
    <row r="111" ht="26.25" customHeight="1" spans="1:20" x14ac:dyDescent="0.25">
      <c r="A111" s="26"/>
      <c r="B111" s="44" t="s">
        <v>25</v>
      </c>
      <c r="C111" s="45"/>
      <c r="D111" s="45"/>
      <c r="E111" s="45"/>
      <c r="F111" s="45"/>
      <c r="G111" s="45"/>
      <c r="H111" s="45"/>
      <c r="I111" s="45"/>
      <c r="J111" s="45"/>
      <c r="K111" s="54">
        <f>SUM(K86:K110)</f>
        <v>0</v>
      </c>
      <c r="L111" s="55"/>
      <c r="M111" s="56"/>
      <c r="N111" s="57">
        <f>SUM(N86:N110)</f>
        <v>0</v>
      </c>
      <c r="O111" s="29"/>
      <c r="P111" s="29"/>
      <c r="Q111" s="26"/>
      <c r="R111" s="25"/>
      <c r="S111" s="25"/>
      <c r="T111" s="25"/>
    </row>
  </sheetData>
  <mergeCells count="183">
    <mergeCell ref="E1:J3"/>
    <mergeCell ref="L4:M4"/>
    <mergeCell ref="L5:M5"/>
    <mergeCell ref="N4:N5"/>
    <mergeCell ref="F7:G7"/>
    <mergeCell ref="B11:E11"/>
    <mergeCell ref="G11:H11"/>
    <mergeCell ref="K11:L11"/>
    <mergeCell ref="M11:N11"/>
    <mergeCell ref="B12:E12"/>
    <mergeCell ref="G12:H12"/>
    <mergeCell ref="B13:E13"/>
    <mergeCell ref="G13:H13"/>
    <mergeCell ref="B14:E14"/>
    <mergeCell ref="G14:H14"/>
    <mergeCell ref="B15:E15"/>
    <mergeCell ref="G15:H15"/>
    <mergeCell ref="B16:E16"/>
    <mergeCell ref="G16:H16"/>
    <mergeCell ref="B17:E17"/>
    <mergeCell ref="G17:H17"/>
    <mergeCell ref="B18:E18"/>
    <mergeCell ref="G18:H18"/>
    <mergeCell ref="B19:E19"/>
    <mergeCell ref="G19:H19"/>
    <mergeCell ref="B20:E20"/>
    <mergeCell ref="G20:H20"/>
    <mergeCell ref="B21:E21"/>
    <mergeCell ref="G21:H21"/>
    <mergeCell ref="B22:E22"/>
    <mergeCell ref="G22:H22"/>
    <mergeCell ref="B23:E23"/>
    <mergeCell ref="G23:H23"/>
    <mergeCell ref="B24:E24"/>
    <mergeCell ref="G24:H24"/>
    <mergeCell ref="B25:E25"/>
    <mergeCell ref="G25:H25"/>
    <mergeCell ref="B26:E26"/>
    <mergeCell ref="G26:H26"/>
    <mergeCell ref="B27:E27"/>
    <mergeCell ref="G27:H27"/>
    <mergeCell ref="B28:E28"/>
    <mergeCell ref="G28:H28"/>
    <mergeCell ref="B29:E29"/>
    <mergeCell ref="G29:H29"/>
    <mergeCell ref="B30:E30"/>
    <mergeCell ref="G30:H30"/>
    <mergeCell ref="B31:E31"/>
    <mergeCell ref="G31:H31"/>
    <mergeCell ref="B32:E32"/>
    <mergeCell ref="G32:H32"/>
    <mergeCell ref="B33:E33"/>
    <mergeCell ref="G33:H33"/>
    <mergeCell ref="B34:E34"/>
    <mergeCell ref="G34:H34"/>
    <mergeCell ref="B35:E35"/>
    <mergeCell ref="G35:H35"/>
    <mergeCell ref="B36:E36"/>
    <mergeCell ref="G36:H36"/>
    <mergeCell ref="B37:I37"/>
    <mergeCell ref="K37:L37"/>
    <mergeCell ref="E38:J40"/>
    <mergeCell ref="L41:M41"/>
    <mergeCell ref="L42:M42"/>
    <mergeCell ref="N41:N42"/>
    <mergeCell ref="F44:G44"/>
    <mergeCell ref="B48:E48"/>
    <mergeCell ref="G48:H48"/>
    <mergeCell ref="K48:L48"/>
    <mergeCell ref="M48:N48"/>
    <mergeCell ref="B49:E49"/>
    <mergeCell ref="G49:H49"/>
    <mergeCell ref="B50:E50"/>
    <mergeCell ref="G50:H50"/>
    <mergeCell ref="B51:E51"/>
    <mergeCell ref="G51:H51"/>
    <mergeCell ref="B52:E52"/>
    <mergeCell ref="G52:H52"/>
    <mergeCell ref="B53:E53"/>
    <mergeCell ref="G53:H53"/>
    <mergeCell ref="B54:E54"/>
    <mergeCell ref="G54:H54"/>
    <mergeCell ref="B55:E55"/>
    <mergeCell ref="G55:H55"/>
    <mergeCell ref="B56:E56"/>
    <mergeCell ref="G56:H56"/>
    <mergeCell ref="B57:E57"/>
    <mergeCell ref="G57:H57"/>
    <mergeCell ref="B58:E58"/>
    <mergeCell ref="G58:H58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B68:E68"/>
    <mergeCell ref="G68:H68"/>
    <mergeCell ref="B69:E69"/>
    <mergeCell ref="G69:H69"/>
    <mergeCell ref="B70:E70"/>
    <mergeCell ref="G70:H70"/>
    <mergeCell ref="B71:E71"/>
    <mergeCell ref="G71:H71"/>
    <mergeCell ref="B72:E72"/>
    <mergeCell ref="G72:H72"/>
    <mergeCell ref="B73:E73"/>
    <mergeCell ref="G73:H73"/>
    <mergeCell ref="B74:I74"/>
    <mergeCell ref="K74:L74"/>
    <mergeCell ref="E75:J77"/>
    <mergeCell ref="L78:M78"/>
    <mergeCell ref="L79:M79"/>
    <mergeCell ref="N78:N79"/>
    <mergeCell ref="F81:G81"/>
    <mergeCell ref="B85:E85"/>
    <mergeCell ref="G85:H85"/>
    <mergeCell ref="K85:L85"/>
    <mergeCell ref="M85:N85"/>
    <mergeCell ref="B86:E86"/>
    <mergeCell ref="G86:H86"/>
    <mergeCell ref="B87:E87"/>
    <mergeCell ref="G87:H87"/>
    <mergeCell ref="B88:E88"/>
    <mergeCell ref="G88:H88"/>
    <mergeCell ref="B89:E89"/>
    <mergeCell ref="G89:H89"/>
    <mergeCell ref="B90:E90"/>
    <mergeCell ref="G90:H90"/>
    <mergeCell ref="B91:E91"/>
    <mergeCell ref="G91:H91"/>
    <mergeCell ref="B92:E92"/>
    <mergeCell ref="G92:H92"/>
    <mergeCell ref="B93:E93"/>
    <mergeCell ref="G93:H93"/>
    <mergeCell ref="B94:E94"/>
    <mergeCell ref="G94:H94"/>
    <mergeCell ref="B95:E95"/>
    <mergeCell ref="G95:H95"/>
    <mergeCell ref="B96:E96"/>
    <mergeCell ref="G96:H96"/>
    <mergeCell ref="B97:E97"/>
    <mergeCell ref="G97:H97"/>
    <mergeCell ref="B98:E98"/>
    <mergeCell ref="G98:H98"/>
    <mergeCell ref="B99:E99"/>
    <mergeCell ref="G99:H99"/>
    <mergeCell ref="B100:E100"/>
    <mergeCell ref="G100:H100"/>
    <mergeCell ref="B101:E101"/>
    <mergeCell ref="G101:H101"/>
    <mergeCell ref="B102:E102"/>
    <mergeCell ref="G102:H102"/>
    <mergeCell ref="B103:E103"/>
    <mergeCell ref="G103:H103"/>
    <mergeCell ref="B104:E104"/>
    <mergeCell ref="G104:H104"/>
    <mergeCell ref="B105:E105"/>
    <mergeCell ref="G105:H105"/>
    <mergeCell ref="B106:E106"/>
    <mergeCell ref="G106:H106"/>
    <mergeCell ref="B107:E107"/>
    <mergeCell ref="G107:H107"/>
    <mergeCell ref="B108:E108"/>
    <mergeCell ref="G108:H108"/>
    <mergeCell ref="B109:E109"/>
    <mergeCell ref="G109:H109"/>
    <mergeCell ref="B110:E110"/>
    <mergeCell ref="G110:H110"/>
    <mergeCell ref="B111:I111"/>
    <mergeCell ref="K111:L111"/>
  </mergeCells>
  <pageMargins left="0.1968503937007874" right="0.1968503937007874" top="0.7480314960629921" bottom="0.7480314960629921" header="0.31496062992125984" footer="0.31496062992125984"/>
  <pageSetup paperSize="9" orientation="portrait" horizontalDpi="4294967295" verticalDpi="4294967295" scale="83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workbookViewId="0" zoomScale="60" zoomScaleNormal="100" view="pageBreakPreview">
      <selection activeCell="H23" sqref="H23"/>
    </sheetView>
  </sheetViews>
  <sheetFormatPr defaultRowHeight="13.5" outlineLevelRow="0" outlineLevelCol="0" x14ac:dyDescent="0.1" customHeight="1"/>
  <cols>
    <col min="1" max="1" width="2.31640625" style="62" customWidth="1"/>
    <col min="2" max="2" width="6.953125" style="62" customWidth="1"/>
    <col min="3" max="3" width="10.90625" style="62" customWidth="1"/>
    <col min="4" max="5" width="8.99609375" style="62" customWidth="1"/>
    <col min="6" max="6" width="6.6796875" style="62" customWidth="1"/>
    <col min="7" max="7" width="14.86328125" style="62" customWidth="1"/>
    <col min="8" max="9" width="8.99609375" style="62" customWidth="1"/>
    <col min="10" max="10" width="6.953125" style="62" customWidth="1"/>
    <col min="11" max="11" width="8.99609375" style="62" customWidth="1"/>
    <col min="12" max="12" width="1.76953125" style="62" customWidth="1"/>
    <col min="13" max="256" width="8.99609375" style="62" customWidth="1"/>
    <col min="257" max="257" width="2.31640625" style="62" customWidth="1"/>
    <col min="258" max="258" width="6.953125" style="62" customWidth="1"/>
    <col min="259" max="259" width="10.90625" style="62" customWidth="1"/>
    <col min="260" max="261" width="8.99609375" style="62" customWidth="1"/>
    <col min="262" max="262" width="6.6796875" style="62" customWidth="1"/>
    <col min="263" max="263" width="14.86328125" style="62" customWidth="1"/>
    <col min="264" max="265" width="8.99609375" style="62" customWidth="1"/>
    <col min="266" max="266" width="6.953125" style="62" customWidth="1"/>
    <col min="267" max="267" width="8.99609375" style="62" customWidth="1"/>
    <col min="268" max="268" width="1.76953125" style="62" customWidth="1"/>
    <col min="269" max="512" width="8.99609375" style="62" customWidth="1"/>
    <col min="513" max="513" width="2.31640625" style="62" customWidth="1"/>
    <col min="514" max="514" width="6.953125" style="62" customWidth="1"/>
    <col min="515" max="515" width="10.90625" style="62" customWidth="1"/>
    <col min="516" max="517" width="8.99609375" style="62" customWidth="1"/>
    <col min="518" max="518" width="6.6796875" style="62" customWidth="1"/>
    <col min="519" max="519" width="14.86328125" style="62" customWidth="1"/>
    <col min="520" max="521" width="8.99609375" style="62" customWidth="1"/>
    <col min="522" max="522" width="6.953125" style="62" customWidth="1"/>
    <col min="523" max="523" width="8.99609375" style="62" customWidth="1"/>
    <col min="524" max="524" width="1.76953125" style="62" customWidth="1"/>
    <col min="525" max="768" width="8.99609375" style="62" customWidth="1"/>
    <col min="769" max="769" width="2.31640625" style="62" customWidth="1"/>
    <col min="770" max="770" width="6.953125" style="62" customWidth="1"/>
    <col min="771" max="771" width="10.90625" style="62" customWidth="1"/>
    <col min="772" max="773" width="8.99609375" style="62" customWidth="1"/>
    <col min="774" max="774" width="6.6796875" style="62" customWidth="1"/>
    <col min="775" max="775" width="14.86328125" style="62" customWidth="1"/>
    <col min="776" max="777" width="8.99609375" style="62" customWidth="1"/>
    <col min="778" max="778" width="6.953125" style="62" customWidth="1"/>
    <col min="779" max="779" width="8.99609375" style="62" customWidth="1"/>
    <col min="780" max="780" width="1.76953125" style="62" customWidth="1"/>
    <col min="781" max="1024" width="8.99609375" style="62" customWidth="1"/>
    <col min="1025" max="1025" width="2.31640625" style="62" customWidth="1"/>
    <col min="1026" max="1026" width="6.953125" style="62" customWidth="1"/>
    <col min="1027" max="1027" width="10.90625" style="62" customWidth="1"/>
    <col min="1028" max="1029" width="8.99609375" style="62" customWidth="1"/>
    <col min="1030" max="1030" width="6.6796875" style="62" customWidth="1"/>
    <col min="1031" max="1031" width="14.86328125" style="62" customWidth="1"/>
    <col min="1032" max="1033" width="8.99609375" style="62" customWidth="1"/>
    <col min="1034" max="1034" width="6.953125" style="62" customWidth="1"/>
    <col min="1035" max="1035" width="8.99609375" style="62" customWidth="1"/>
    <col min="1036" max="1036" width="1.76953125" style="62" customWidth="1"/>
    <col min="1037" max="1280" width="8.99609375" style="62" customWidth="1"/>
    <col min="1281" max="1281" width="2.31640625" style="62" customWidth="1"/>
    <col min="1282" max="1282" width="6.953125" style="62" customWidth="1"/>
    <col min="1283" max="1283" width="10.90625" style="62" customWidth="1"/>
    <col min="1284" max="1285" width="8.99609375" style="62" customWidth="1"/>
    <col min="1286" max="1286" width="6.6796875" style="62" customWidth="1"/>
    <col min="1287" max="1287" width="14.86328125" style="62" customWidth="1"/>
    <col min="1288" max="1289" width="8.99609375" style="62" customWidth="1"/>
    <col min="1290" max="1290" width="6.953125" style="62" customWidth="1"/>
    <col min="1291" max="1291" width="8.99609375" style="62" customWidth="1"/>
    <col min="1292" max="1292" width="1.76953125" style="62" customWidth="1"/>
    <col min="1293" max="1536" width="8.99609375" style="62" customWidth="1"/>
    <col min="1537" max="1537" width="2.31640625" style="62" customWidth="1"/>
    <col min="1538" max="1538" width="6.953125" style="62" customWidth="1"/>
    <col min="1539" max="1539" width="10.90625" style="62" customWidth="1"/>
    <col min="1540" max="1541" width="8.99609375" style="62" customWidth="1"/>
    <col min="1542" max="1542" width="6.6796875" style="62" customWidth="1"/>
    <col min="1543" max="1543" width="14.86328125" style="62" customWidth="1"/>
    <col min="1544" max="1545" width="8.99609375" style="62" customWidth="1"/>
    <col min="1546" max="1546" width="6.953125" style="62" customWidth="1"/>
    <col min="1547" max="1547" width="8.99609375" style="62" customWidth="1"/>
    <col min="1548" max="1548" width="1.76953125" style="62" customWidth="1"/>
    <col min="1549" max="1792" width="8.99609375" style="62" customWidth="1"/>
    <col min="1793" max="1793" width="2.31640625" style="62" customWidth="1"/>
    <col min="1794" max="1794" width="6.953125" style="62" customWidth="1"/>
    <col min="1795" max="1795" width="10.90625" style="62" customWidth="1"/>
    <col min="1796" max="1797" width="8.99609375" style="62" customWidth="1"/>
    <col min="1798" max="1798" width="6.6796875" style="62" customWidth="1"/>
    <col min="1799" max="1799" width="14.86328125" style="62" customWidth="1"/>
    <col min="1800" max="1801" width="8.99609375" style="62" customWidth="1"/>
    <col min="1802" max="1802" width="6.953125" style="62" customWidth="1"/>
    <col min="1803" max="1803" width="8.99609375" style="62" customWidth="1"/>
    <col min="1804" max="1804" width="1.76953125" style="62" customWidth="1"/>
    <col min="1805" max="2048" width="8.99609375" style="62" customWidth="1"/>
    <col min="2049" max="2049" width="2.31640625" style="62" customWidth="1"/>
    <col min="2050" max="2050" width="6.953125" style="62" customWidth="1"/>
    <col min="2051" max="2051" width="10.90625" style="62" customWidth="1"/>
    <col min="2052" max="2053" width="8.99609375" style="62" customWidth="1"/>
    <col min="2054" max="2054" width="6.6796875" style="62" customWidth="1"/>
    <col min="2055" max="2055" width="14.86328125" style="62" customWidth="1"/>
    <col min="2056" max="2057" width="8.99609375" style="62" customWidth="1"/>
    <col min="2058" max="2058" width="6.953125" style="62" customWidth="1"/>
    <col min="2059" max="2059" width="8.99609375" style="62" customWidth="1"/>
    <col min="2060" max="2060" width="1.76953125" style="62" customWidth="1"/>
    <col min="2061" max="2304" width="8.99609375" style="62" customWidth="1"/>
    <col min="2305" max="2305" width="2.31640625" style="62" customWidth="1"/>
    <col min="2306" max="2306" width="6.953125" style="62" customWidth="1"/>
    <col min="2307" max="2307" width="10.90625" style="62" customWidth="1"/>
    <col min="2308" max="2309" width="8.99609375" style="62" customWidth="1"/>
    <col min="2310" max="2310" width="6.6796875" style="62" customWidth="1"/>
    <col min="2311" max="2311" width="14.86328125" style="62" customWidth="1"/>
    <col min="2312" max="2313" width="8.99609375" style="62" customWidth="1"/>
    <col min="2314" max="2314" width="6.953125" style="62" customWidth="1"/>
    <col min="2315" max="2315" width="8.99609375" style="62" customWidth="1"/>
    <col min="2316" max="2316" width="1.76953125" style="62" customWidth="1"/>
    <col min="2317" max="2560" width="8.99609375" style="62" customWidth="1"/>
    <col min="2561" max="2561" width="2.31640625" style="62" customWidth="1"/>
    <col min="2562" max="2562" width="6.953125" style="62" customWidth="1"/>
    <col min="2563" max="2563" width="10.90625" style="62" customWidth="1"/>
    <col min="2564" max="2565" width="8.99609375" style="62" customWidth="1"/>
    <col min="2566" max="2566" width="6.6796875" style="62" customWidth="1"/>
    <col min="2567" max="2567" width="14.86328125" style="62" customWidth="1"/>
    <col min="2568" max="2569" width="8.99609375" style="62" customWidth="1"/>
    <col min="2570" max="2570" width="6.953125" style="62" customWidth="1"/>
    <col min="2571" max="2571" width="8.99609375" style="62" customWidth="1"/>
    <col min="2572" max="2572" width="1.76953125" style="62" customWidth="1"/>
    <col min="2573" max="2816" width="8.99609375" style="62" customWidth="1"/>
    <col min="2817" max="2817" width="2.31640625" style="62" customWidth="1"/>
    <col min="2818" max="2818" width="6.953125" style="62" customWidth="1"/>
    <col min="2819" max="2819" width="10.90625" style="62" customWidth="1"/>
    <col min="2820" max="2821" width="8.99609375" style="62" customWidth="1"/>
    <col min="2822" max="2822" width="6.6796875" style="62" customWidth="1"/>
    <col min="2823" max="2823" width="14.86328125" style="62" customWidth="1"/>
    <col min="2824" max="2825" width="8.99609375" style="62" customWidth="1"/>
    <col min="2826" max="2826" width="6.953125" style="62" customWidth="1"/>
    <col min="2827" max="2827" width="8.99609375" style="62" customWidth="1"/>
    <col min="2828" max="2828" width="1.76953125" style="62" customWidth="1"/>
    <col min="2829" max="3072" width="8.99609375" style="62" customWidth="1"/>
    <col min="3073" max="3073" width="2.31640625" style="62" customWidth="1"/>
    <col min="3074" max="3074" width="6.953125" style="62" customWidth="1"/>
    <col min="3075" max="3075" width="10.90625" style="62" customWidth="1"/>
    <col min="3076" max="3077" width="8.99609375" style="62" customWidth="1"/>
    <col min="3078" max="3078" width="6.6796875" style="62" customWidth="1"/>
    <col min="3079" max="3079" width="14.86328125" style="62" customWidth="1"/>
    <col min="3080" max="3081" width="8.99609375" style="62" customWidth="1"/>
    <col min="3082" max="3082" width="6.953125" style="62" customWidth="1"/>
    <col min="3083" max="3083" width="8.99609375" style="62" customWidth="1"/>
    <col min="3084" max="3084" width="1.76953125" style="62" customWidth="1"/>
    <col min="3085" max="3328" width="8.99609375" style="62" customWidth="1"/>
    <col min="3329" max="3329" width="2.31640625" style="62" customWidth="1"/>
    <col min="3330" max="3330" width="6.953125" style="62" customWidth="1"/>
    <col min="3331" max="3331" width="10.90625" style="62" customWidth="1"/>
    <col min="3332" max="3333" width="8.99609375" style="62" customWidth="1"/>
    <col min="3334" max="3334" width="6.6796875" style="62" customWidth="1"/>
    <col min="3335" max="3335" width="14.86328125" style="62" customWidth="1"/>
    <col min="3336" max="3337" width="8.99609375" style="62" customWidth="1"/>
    <col min="3338" max="3338" width="6.953125" style="62" customWidth="1"/>
    <col min="3339" max="3339" width="8.99609375" style="62" customWidth="1"/>
    <col min="3340" max="3340" width="1.76953125" style="62" customWidth="1"/>
    <col min="3341" max="3584" width="8.99609375" style="62" customWidth="1"/>
    <col min="3585" max="3585" width="2.31640625" style="62" customWidth="1"/>
    <col min="3586" max="3586" width="6.953125" style="62" customWidth="1"/>
    <col min="3587" max="3587" width="10.90625" style="62" customWidth="1"/>
    <col min="3588" max="3589" width="8.99609375" style="62" customWidth="1"/>
    <col min="3590" max="3590" width="6.6796875" style="62" customWidth="1"/>
    <col min="3591" max="3591" width="14.86328125" style="62" customWidth="1"/>
    <col min="3592" max="3593" width="8.99609375" style="62" customWidth="1"/>
    <col min="3594" max="3594" width="6.953125" style="62" customWidth="1"/>
    <col min="3595" max="3595" width="8.99609375" style="62" customWidth="1"/>
    <col min="3596" max="3596" width="1.76953125" style="62" customWidth="1"/>
    <col min="3597" max="3840" width="8.99609375" style="62" customWidth="1"/>
    <col min="3841" max="3841" width="2.31640625" style="62" customWidth="1"/>
    <col min="3842" max="3842" width="6.953125" style="62" customWidth="1"/>
    <col min="3843" max="3843" width="10.90625" style="62" customWidth="1"/>
    <col min="3844" max="3845" width="8.99609375" style="62" customWidth="1"/>
    <col min="3846" max="3846" width="6.6796875" style="62" customWidth="1"/>
    <col min="3847" max="3847" width="14.86328125" style="62" customWidth="1"/>
    <col min="3848" max="3849" width="8.99609375" style="62" customWidth="1"/>
    <col min="3850" max="3850" width="6.953125" style="62" customWidth="1"/>
    <col min="3851" max="3851" width="8.99609375" style="62" customWidth="1"/>
    <col min="3852" max="3852" width="1.76953125" style="62" customWidth="1"/>
    <col min="3853" max="4096" width="8.99609375" style="62" customWidth="1"/>
    <col min="4097" max="4097" width="2.31640625" style="62" customWidth="1"/>
    <col min="4098" max="4098" width="6.953125" style="62" customWidth="1"/>
    <col min="4099" max="4099" width="10.90625" style="62" customWidth="1"/>
    <col min="4100" max="4101" width="8.99609375" style="62" customWidth="1"/>
    <col min="4102" max="4102" width="6.6796875" style="62" customWidth="1"/>
    <col min="4103" max="4103" width="14.86328125" style="62" customWidth="1"/>
    <col min="4104" max="4105" width="8.99609375" style="62" customWidth="1"/>
    <col min="4106" max="4106" width="6.953125" style="62" customWidth="1"/>
    <col min="4107" max="4107" width="8.99609375" style="62" customWidth="1"/>
    <col min="4108" max="4108" width="1.76953125" style="62" customWidth="1"/>
    <col min="4109" max="4352" width="8.99609375" style="62" customWidth="1"/>
    <col min="4353" max="4353" width="2.31640625" style="62" customWidth="1"/>
    <col min="4354" max="4354" width="6.953125" style="62" customWidth="1"/>
    <col min="4355" max="4355" width="10.90625" style="62" customWidth="1"/>
    <col min="4356" max="4357" width="8.99609375" style="62" customWidth="1"/>
    <col min="4358" max="4358" width="6.6796875" style="62" customWidth="1"/>
    <col min="4359" max="4359" width="14.86328125" style="62" customWidth="1"/>
    <col min="4360" max="4361" width="8.99609375" style="62" customWidth="1"/>
    <col min="4362" max="4362" width="6.953125" style="62" customWidth="1"/>
    <col min="4363" max="4363" width="8.99609375" style="62" customWidth="1"/>
    <col min="4364" max="4364" width="1.76953125" style="62" customWidth="1"/>
    <col min="4365" max="4608" width="8.99609375" style="62" customWidth="1"/>
    <col min="4609" max="4609" width="2.31640625" style="62" customWidth="1"/>
    <col min="4610" max="4610" width="6.953125" style="62" customWidth="1"/>
    <col min="4611" max="4611" width="10.90625" style="62" customWidth="1"/>
    <col min="4612" max="4613" width="8.99609375" style="62" customWidth="1"/>
    <col min="4614" max="4614" width="6.6796875" style="62" customWidth="1"/>
    <col min="4615" max="4615" width="14.86328125" style="62" customWidth="1"/>
    <col min="4616" max="4617" width="8.99609375" style="62" customWidth="1"/>
    <col min="4618" max="4618" width="6.953125" style="62" customWidth="1"/>
    <col min="4619" max="4619" width="8.99609375" style="62" customWidth="1"/>
    <col min="4620" max="4620" width="1.76953125" style="62" customWidth="1"/>
    <col min="4621" max="4864" width="8.99609375" style="62" customWidth="1"/>
    <col min="4865" max="4865" width="2.31640625" style="62" customWidth="1"/>
    <col min="4866" max="4866" width="6.953125" style="62" customWidth="1"/>
    <col min="4867" max="4867" width="10.90625" style="62" customWidth="1"/>
    <col min="4868" max="4869" width="8.99609375" style="62" customWidth="1"/>
    <col min="4870" max="4870" width="6.6796875" style="62" customWidth="1"/>
    <col min="4871" max="4871" width="14.86328125" style="62" customWidth="1"/>
    <col min="4872" max="4873" width="8.99609375" style="62" customWidth="1"/>
    <col min="4874" max="4874" width="6.953125" style="62" customWidth="1"/>
    <col min="4875" max="4875" width="8.99609375" style="62" customWidth="1"/>
    <col min="4876" max="4876" width="1.76953125" style="62" customWidth="1"/>
    <col min="4877" max="5120" width="8.99609375" style="62" customWidth="1"/>
    <col min="5121" max="5121" width="2.31640625" style="62" customWidth="1"/>
    <col min="5122" max="5122" width="6.953125" style="62" customWidth="1"/>
    <col min="5123" max="5123" width="10.90625" style="62" customWidth="1"/>
    <col min="5124" max="5125" width="8.99609375" style="62" customWidth="1"/>
    <col min="5126" max="5126" width="6.6796875" style="62" customWidth="1"/>
    <col min="5127" max="5127" width="14.86328125" style="62" customWidth="1"/>
    <col min="5128" max="5129" width="8.99609375" style="62" customWidth="1"/>
    <col min="5130" max="5130" width="6.953125" style="62" customWidth="1"/>
    <col min="5131" max="5131" width="8.99609375" style="62" customWidth="1"/>
    <col min="5132" max="5132" width="1.76953125" style="62" customWidth="1"/>
    <col min="5133" max="5376" width="8.99609375" style="62" customWidth="1"/>
    <col min="5377" max="5377" width="2.31640625" style="62" customWidth="1"/>
    <col min="5378" max="5378" width="6.953125" style="62" customWidth="1"/>
    <col min="5379" max="5379" width="10.90625" style="62" customWidth="1"/>
    <col min="5380" max="5381" width="8.99609375" style="62" customWidth="1"/>
    <col min="5382" max="5382" width="6.6796875" style="62" customWidth="1"/>
    <col min="5383" max="5383" width="14.86328125" style="62" customWidth="1"/>
    <col min="5384" max="5385" width="8.99609375" style="62" customWidth="1"/>
    <col min="5386" max="5386" width="6.953125" style="62" customWidth="1"/>
    <col min="5387" max="5387" width="8.99609375" style="62" customWidth="1"/>
    <col min="5388" max="5388" width="1.76953125" style="62" customWidth="1"/>
    <col min="5389" max="5632" width="8.99609375" style="62" customWidth="1"/>
    <col min="5633" max="5633" width="2.31640625" style="62" customWidth="1"/>
    <col min="5634" max="5634" width="6.953125" style="62" customWidth="1"/>
    <col min="5635" max="5635" width="10.90625" style="62" customWidth="1"/>
    <col min="5636" max="5637" width="8.99609375" style="62" customWidth="1"/>
    <col min="5638" max="5638" width="6.6796875" style="62" customWidth="1"/>
    <col min="5639" max="5639" width="14.86328125" style="62" customWidth="1"/>
    <col min="5640" max="5641" width="8.99609375" style="62" customWidth="1"/>
    <col min="5642" max="5642" width="6.953125" style="62" customWidth="1"/>
    <col min="5643" max="5643" width="8.99609375" style="62" customWidth="1"/>
    <col min="5644" max="5644" width="1.76953125" style="62" customWidth="1"/>
    <col min="5645" max="5888" width="8.99609375" style="62" customWidth="1"/>
    <col min="5889" max="5889" width="2.31640625" style="62" customWidth="1"/>
    <col min="5890" max="5890" width="6.953125" style="62" customWidth="1"/>
    <col min="5891" max="5891" width="10.90625" style="62" customWidth="1"/>
    <col min="5892" max="5893" width="8.99609375" style="62" customWidth="1"/>
    <col min="5894" max="5894" width="6.6796875" style="62" customWidth="1"/>
    <col min="5895" max="5895" width="14.86328125" style="62" customWidth="1"/>
    <col min="5896" max="5897" width="8.99609375" style="62" customWidth="1"/>
    <col min="5898" max="5898" width="6.953125" style="62" customWidth="1"/>
    <col min="5899" max="5899" width="8.99609375" style="62" customWidth="1"/>
    <col min="5900" max="5900" width="1.76953125" style="62" customWidth="1"/>
    <col min="5901" max="6144" width="8.99609375" style="62" customWidth="1"/>
    <col min="6145" max="6145" width="2.31640625" style="62" customWidth="1"/>
    <col min="6146" max="6146" width="6.953125" style="62" customWidth="1"/>
    <col min="6147" max="6147" width="10.90625" style="62" customWidth="1"/>
    <col min="6148" max="6149" width="8.99609375" style="62" customWidth="1"/>
    <col min="6150" max="6150" width="6.6796875" style="62" customWidth="1"/>
    <col min="6151" max="6151" width="14.86328125" style="62" customWidth="1"/>
    <col min="6152" max="6153" width="8.99609375" style="62" customWidth="1"/>
    <col min="6154" max="6154" width="6.953125" style="62" customWidth="1"/>
    <col min="6155" max="6155" width="8.99609375" style="62" customWidth="1"/>
    <col min="6156" max="6156" width="1.76953125" style="62" customWidth="1"/>
    <col min="6157" max="6400" width="8.99609375" style="62" customWidth="1"/>
    <col min="6401" max="6401" width="2.31640625" style="62" customWidth="1"/>
    <col min="6402" max="6402" width="6.953125" style="62" customWidth="1"/>
    <col min="6403" max="6403" width="10.90625" style="62" customWidth="1"/>
    <col min="6404" max="6405" width="8.99609375" style="62" customWidth="1"/>
    <col min="6406" max="6406" width="6.6796875" style="62" customWidth="1"/>
    <col min="6407" max="6407" width="14.86328125" style="62" customWidth="1"/>
    <col min="6408" max="6409" width="8.99609375" style="62" customWidth="1"/>
    <col min="6410" max="6410" width="6.953125" style="62" customWidth="1"/>
    <col min="6411" max="6411" width="8.99609375" style="62" customWidth="1"/>
    <col min="6412" max="6412" width="1.76953125" style="62" customWidth="1"/>
    <col min="6413" max="6656" width="8.99609375" style="62" customWidth="1"/>
    <col min="6657" max="6657" width="2.31640625" style="62" customWidth="1"/>
    <col min="6658" max="6658" width="6.953125" style="62" customWidth="1"/>
    <col min="6659" max="6659" width="10.90625" style="62" customWidth="1"/>
    <col min="6660" max="6661" width="8.99609375" style="62" customWidth="1"/>
    <col min="6662" max="6662" width="6.6796875" style="62" customWidth="1"/>
    <col min="6663" max="6663" width="14.86328125" style="62" customWidth="1"/>
    <col min="6664" max="6665" width="8.99609375" style="62" customWidth="1"/>
    <col min="6666" max="6666" width="6.953125" style="62" customWidth="1"/>
    <col min="6667" max="6667" width="8.99609375" style="62" customWidth="1"/>
    <col min="6668" max="6668" width="1.76953125" style="62" customWidth="1"/>
    <col min="6669" max="6912" width="8.99609375" style="62" customWidth="1"/>
    <col min="6913" max="6913" width="2.31640625" style="62" customWidth="1"/>
    <col min="6914" max="6914" width="6.953125" style="62" customWidth="1"/>
    <col min="6915" max="6915" width="10.90625" style="62" customWidth="1"/>
    <col min="6916" max="6917" width="8.99609375" style="62" customWidth="1"/>
    <col min="6918" max="6918" width="6.6796875" style="62" customWidth="1"/>
    <col min="6919" max="6919" width="14.86328125" style="62" customWidth="1"/>
    <col min="6920" max="6921" width="8.99609375" style="62" customWidth="1"/>
    <col min="6922" max="6922" width="6.953125" style="62" customWidth="1"/>
    <col min="6923" max="6923" width="8.99609375" style="62" customWidth="1"/>
    <col min="6924" max="6924" width="1.76953125" style="62" customWidth="1"/>
    <col min="6925" max="7168" width="8.99609375" style="62" customWidth="1"/>
    <col min="7169" max="7169" width="2.31640625" style="62" customWidth="1"/>
    <col min="7170" max="7170" width="6.953125" style="62" customWidth="1"/>
    <col min="7171" max="7171" width="10.90625" style="62" customWidth="1"/>
    <col min="7172" max="7173" width="8.99609375" style="62" customWidth="1"/>
    <col min="7174" max="7174" width="6.6796875" style="62" customWidth="1"/>
    <col min="7175" max="7175" width="14.86328125" style="62" customWidth="1"/>
    <col min="7176" max="7177" width="8.99609375" style="62" customWidth="1"/>
    <col min="7178" max="7178" width="6.953125" style="62" customWidth="1"/>
    <col min="7179" max="7179" width="8.99609375" style="62" customWidth="1"/>
    <col min="7180" max="7180" width="1.76953125" style="62" customWidth="1"/>
    <col min="7181" max="7424" width="8.99609375" style="62" customWidth="1"/>
    <col min="7425" max="7425" width="2.31640625" style="62" customWidth="1"/>
    <col min="7426" max="7426" width="6.953125" style="62" customWidth="1"/>
    <col min="7427" max="7427" width="10.90625" style="62" customWidth="1"/>
    <col min="7428" max="7429" width="8.99609375" style="62" customWidth="1"/>
    <col min="7430" max="7430" width="6.6796875" style="62" customWidth="1"/>
    <col min="7431" max="7431" width="14.86328125" style="62" customWidth="1"/>
    <col min="7432" max="7433" width="8.99609375" style="62" customWidth="1"/>
    <col min="7434" max="7434" width="6.953125" style="62" customWidth="1"/>
    <col min="7435" max="7435" width="8.99609375" style="62" customWidth="1"/>
    <col min="7436" max="7436" width="1.76953125" style="62" customWidth="1"/>
    <col min="7437" max="7680" width="8.99609375" style="62" customWidth="1"/>
    <col min="7681" max="7681" width="2.31640625" style="62" customWidth="1"/>
    <col min="7682" max="7682" width="6.953125" style="62" customWidth="1"/>
    <col min="7683" max="7683" width="10.90625" style="62" customWidth="1"/>
    <col min="7684" max="7685" width="8.99609375" style="62" customWidth="1"/>
    <col min="7686" max="7686" width="6.6796875" style="62" customWidth="1"/>
    <col min="7687" max="7687" width="14.86328125" style="62" customWidth="1"/>
    <col min="7688" max="7689" width="8.99609375" style="62" customWidth="1"/>
    <col min="7690" max="7690" width="6.953125" style="62" customWidth="1"/>
    <col min="7691" max="7691" width="8.99609375" style="62" customWidth="1"/>
    <col min="7692" max="7692" width="1.76953125" style="62" customWidth="1"/>
    <col min="7693" max="7936" width="8.99609375" style="62" customWidth="1"/>
    <col min="7937" max="7937" width="2.31640625" style="62" customWidth="1"/>
    <col min="7938" max="7938" width="6.953125" style="62" customWidth="1"/>
    <col min="7939" max="7939" width="10.90625" style="62" customWidth="1"/>
    <col min="7940" max="7941" width="8.99609375" style="62" customWidth="1"/>
    <col min="7942" max="7942" width="6.6796875" style="62" customWidth="1"/>
    <col min="7943" max="7943" width="14.86328125" style="62" customWidth="1"/>
    <col min="7944" max="7945" width="8.99609375" style="62" customWidth="1"/>
    <col min="7946" max="7946" width="6.953125" style="62" customWidth="1"/>
    <col min="7947" max="7947" width="8.99609375" style="62" customWidth="1"/>
    <col min="7948" max="7948" width="1.76953125" style="62" customWidth="1"/>
    <col min="7949" max="8192" width="8.99609375" style="62" customWidth="1"/>
    <col min="8193" max="8193" width="2.31640625" style="62" customWidth="1"/>
    <col min="8194" max="8194" width="6.953125" style="62" customWidth="1"/>
    <col min="8195" max="8195" width="10.90625" style="62" customWidth="1"/>
    <col min="8196" max="8197" width="8.99609375" style="62" customWidth="1"/>
    <col min="8198" max="8198" width="6.6796875" style="62" customWidth="1"/>
    <col min="8199" max="8199" width="14.86328125" style="62" customWidth="1"/>
    <col min="8200" max="8201" width="8.99609375" style="62" customWidth="1"/>
    <col min="8202" max="8202" width="6.953125" style="62" customWidth="1"/>
    <col min="8203" max="8203" width="8.99609375" style="62" customWidth="1"/>
    <col min="8204" max="8204" width="1.76953125" style="62" customWidth="1"/>
    <col min="8205" max="8448" width="8.99609375" style="62" customWidth="1"/>
    <col min="8449" max="8449" width="2.31640625" style="62" customWidth="1"/>
    <col min="8450" max="8450" width="6.953125" style="62" customWidth="1"/>
    <col min="8451" max="8451" width="10.90625" style="62" customWidth="1"/>
    <col min="8452" max="8453" width="8.99609375" style="62" customWidth="1"/>
    <col min="8454" max="8454" width="6.6796875" style="62" customWidth="1"/>
    <col min="8455" max="8455" width="14.86328125" style="62" customWidth="1"/>
    <col min="8456" max="8457" width="8.99609375" style="62" customWidth="1"/>
    <col min="8458" max="8458" width="6.953125" style="62" customWidth="1"/>
    <col min="8459" max="8459" width="8.99609375" style="62" customWidth="1"/>
    <col min="8460" max="8460" width="1.76953125" style="62" customWidth="1"/>
    <col min="8461" max="8704" width="8.99609375" style="62" customWidth="1"/>
    <col min="8705" max="8705" width="2.31640625" style="62" customWidth="1"/>
    <col min="8706" max="8706" width="6.953125" style="62" customWidth="1"/>
    <col min="8707" max="8707" width="10.90625" style="62" customWidth="1"/>
    <col min="8708" max="8709" width="8.99609375" style="62" customWidth="1"/>
    <col min="8710" max="8710" width="6.6796875" style="62" customWidth="1"/>
    <col min="8711" max="8711" width="14.86328125" style="62" customWidth="1"/>
    <col min="8712" max="8713" width="8.99609375" style="62" customWidth="1"/>
    <col min="8714" max="8714" width="6.953125" style="62" customWidth="1"/>
    <col min="8715" max="8715" width="8.99609375" style="62" customWidth="1"/>
    <col min="8716" max="8716" width="1.76953125" style="62" customWidth="1"/>
    <col min="8717" max="8960" width="8.99609375" style="62" customWidth="1"/>
    <col min="8961" max="8961" width="2.31640625" style="62" customWidth="1"/>
    <col min="8962" max="8962" width="6.953125" style="62" customWidth="1"/>
    <col min="8963" max="8963" width="10.90625" style="62" customWidth="1"/>
    <col min="8964" max="8965" width="8.99609375" style="62" customWidth="1"/>
    <col min="8966" max="8966" width="6.6796875" style="62" customWidth="1"/>
    <col min="8967" max="8967" width="14.86328125" style="62" customWidth="1"/>
    <col min="8968" max="8969" width="8.99609375" style="62" customWidth="1"/>
    <col min="8970" max="8970" width="6.953125" style="62" customWidth="1"/>
    <col min="8971" max="8971" width="8.99609375" style="62" customWidth="1"/>
    <col min="8972" max="8972" width="1.76953125" style="62" customWidth="1"/>
    <col min="8973" max="9216" width="8.99609375" style="62" customWidth="1"/>
    <col min="9217" max="9217" width="2.31640625" style="62" customWidth="1"/>
    <col min="9218" max="9218" width="6.953125" style="62" customWidth="1"/>
    <col min="9219" max="9219" width="10.90625" style="62" customWidth="1"/>
    <col min="9220" max="9221" width="8.99609375" style="62" customWidth="1"/>
    <col min="9222" max="9222" width="6.6796875" style="62" customWidth="1"/>
    <col min="9223" max="9223" width="14.86328125" style="62" customWidth="1"/>
    <col min="9224" max="9225" width="8.99609375" style="62" customWidth="1"/>
    <col min="9226" max="9226" width="6.953125" style="62" customWidth="1"/>
    <col min="9227" max="9227" width="8.99609375" style="62" customWidth="1"/>
    <col min="9228" max="9228" width="1.76953125" style="62" customWidth="1"/>
    <col min="9229" max="9472" width="8.99609375" style="62" customWidth="1"/>
    <col min="9473" max="9473" width="2.31640625" style="62" customWidth="1"/>
    <col min="9474" max="9474" width="6.953125" style="62" customWidth="1"/>
    <col min="9475" max="9475" width="10.90625" style="62" customWidth="1"/>
    <col min="9476" max="9477" width="8.99609375" style="62" customWidth="1"/>
    <col min="9478" max="9478" width="6.6796875" style="62" customWidth="1"/>
    <col min="9479" max="9479" width="14.86328125" style="62" customWidth="1"/>
    <col min="9480" max="9481" width="8.99609375" style="62" customWidth="1"/>
    <col min="9482" max="9482" width="6.953125" style="62" customWidth="1"/>
    <col min="9483" max="9483" width="8.99609375" style="62" customWidth="1"/>
    <col min="9484" max="9484" width="1.76953125" style="62" customWidth="1"/>
    <col min="9485" max="9728" width="8.99609375" style="62" customWidth="1"/>
    <col min="9729" max="9729" width="2.31640625" style="62" customWidth="1"/>
    <col min="9730" max="9730" width="6.953125" style="62" customWidth="1"/>
    <col min="9731" max="9731" width="10.90625" style="62" customWidth="1"/>
    <col min="9732" max="9733" width="8.99609375" style="62" customWidth="1"/>
    <col min="9734" max="9734" width="6.6796875" style="62" customWidth="1"/>
    <col min="9735" max="9735" width="14.86328125" style="62" customWidth="1"/>
    <col min="9736" max="9737" width="8.99609375" style="62" customWidth="1"/>
    <col min="9738" max="9738" width="6.953125" style="62" customWidth="1"/>
    <col min="9739" max="9739" width="8.99609375" style="62" customWidth="1"/>
    <col min="9740" max="9740" width="1.76953125" style="62" customWidth="1"/>
    <col min="9741" max="9984" width="8.99609375" style="62" customWidth="1"/>
    <col min="9985" max="9985" width="2.31640625" style="62" customWidth="1"/>
    <col min="9986" max="9986" width="6.953125" style="62" customWidth="1"/>
    <col min="9987" max="9987" width="10.90625" style="62" customWidth="1"/>
    <col min="9988" max="9989" width="8.99609375" style="62" customWidth="1"/>
    <col min="9990" max="9990" width="6.6796875" style="62" customWidth="1"/>
    <col min="9991" max="9991" width="14.86328125" style="62" customWidth="1"/>
    <col min="9992" max="9993" width="8.99609375" style="62" customWidth="1"/>
    <col min="9994" max="9994" width="6.953125" style="62" customWidth="1"/>
    <col min="9995" max="9995" width="8.99609375" style="62" customWidth="1"/>
    <col min="9996" max="9996" width="1.76953125" style="62" customWidth="1"/>
    <col min="9997" max="10240" width="8.99609375" style="62" customWidth="1"/>
    <col min="10241" max="10241" width="2.31640625" style="62" customWidth="1"/>
    <col min="10242" max="10242" width="6.953125" style="62" customWidth="1"/>
    <col min="10243" max="10243" width="10.90625" style="62" customWidth="1"/>
    <col min="10244" max="10245" width="8.99609375" style="62" customWidth="1"/>
    <col min="10246" max="10246" width="6.6796875" style="62" customWidth="1"/>
    <col min="10247" max="10247" width="14.86328125" style="62" customWidth="1"/>
    <col min="10248" max="10249" width="8.99609375" style="62" customWidth="1"/>
    <col min="10250" max="10250" width="6.953125" style="62" customWidth="1"/>
    <col min="10251" max="10251" width="8.99609375" style="62" customWidth="1"/>
    <col min="10252" max="10252" width="1.76953125" style="62" customWidth="1"/>
    <col min="10253" max="10496" width="8.99609375" style="62" customWidth="1"/>
    <col min="10497" max="10497" width="2.31640625" style="62" customWidth="1"/>
    <col min="10498" max="10498" width="6.953125" style="62" customWidth="1"/>
    <col min="10499" max="10499" width="10.90625" style="62" customWidth="1"/>
    <col min="10500" max="10501" width="8.99609375" style="62" customWidth="1"/>
    <col min="10502" max="10502" width="6.6796875" style="62" customWidth="1"/>
    <col min="10503" max="10503" width="14.86328125" style="62" customWidth="1"/>
    <col min="10504" max="10505" width="8.99609375" style="62" customWidth="1"/>
    <col min="10506" max="10506" width="6.953125" style="62" customWidth="1"/>
    <col min="10507" max="10507" width="8.99609375" style="62" customWidth="1"/>
    <col min="10508" max="10508" width="1.76953125" style="62" customWidth="1"/>
    <col min="10509" max="10752" width="8.99609375" style="62" customWidth="1"/>
    <col min="10753" max="10753" width="2.31640625" style="62" customWidth="1"/>
    <col min="10754" max="10754" width="6.953125" style="62" customWidth="1"/>
    <col min="10755" max="10755" width="10.90625" style="62" customWidth="1"/>
    <col min="10756" max="10757" width="8.99609375" style="62" customWidth="1"/>
    <col min="10758" max="10758" width="6.6796875" style="62" customWidth="1"/>
    <col min="10759" max="10759" width="14.86328125" style="62" customWidth="1"/>
    <col min="10760" max="10761" width="8.99609375" style="62" customWidth="1"/>
    <col min="10762" max="10762" width="6.953125" style="62" customWidth="1"/>
    <col min="10763" max="10763" width="8.99609375" style="62" customWidth="1"/>
    <col min="10764" max="10764" width="1.76953125" style="62" customWidth="1"/>
    <col min="10765" max="11008" width="8.99609375" style="62" customWidth="1"/>
    <col min="11009" max="11009" width="2.31640625" style="62" customWidth="1"/>
    <col min="11010" max="11010" width="6.953125" style="62" customWidth="1"/>
    <col min="11011" max="11011" width="10.90625" style="62" customWidth="1"/>
    <col min="11012" max="11013" width="8.99609375" style="62" customWidth="1"/>
    <col min="11014" max="11014" width="6.6796875" style="62" customWidth="1"/>
    <col min="11015" max="11015" width="14.86328125" style="62" customWidth="1"/>
    <col min="11016" max="11017" width="8.99609375" style="62" customWidth="1"/>
    <col min="11018" max="11018" width="6.953125" style="62" customWidth="1"/>
    <col min="11019" max="11019" width="8.99609375" style="62" customWidth="1"/>
    <col min="11020" max="11020" width="1.76953125" style="62" customWidth="1"/>
    <col min="11021" max="11264" width="8.99609375" style="62" customWidth="1"/>
    <col min="11265" max="11265" width="2.31640625" style="62" customWidth="1"/>
    <col min="11266" max="11266" width="6.953125" style="62" customWidth="1"/>
    <col min="11267" max="11267" width="10.90625" style="62" customWidth="1"/>
    <col min="11268" max="11269" width="8.99609375" style="62" customWidth="1"/>
    <col min="11270" max="11270" width="6.6796875" style="62" customWidth="1"/>
    <col min="11271" max="11271" width="14.86328125" style="62" customWidth="1"/>
    <col min="11272" max="11273" width="8.99609375" style="62" customWidth="1"/>
    <col min="11274" max="11274" width="6.953125" style="62" customWidth="1"/>
    <col min="11275" max="11275" width="8.99609375" style="62" customWidth="1"/>
    <col min="11276" max="11276" width="1.76953125" style="62" customWidth="1"/>
    <col min="11277" max="11520" width="8.99609375" style="62" customWidth="1"/>
    <col min="11521" max="11521" width="2.31640625" style="62" customWidth="1"/>
    <col min="11522" max="11522" width="6.953125" style="62" customWidth="1"/>
    <col min="11523" max="11523" width="10.90625" style="62" customWidth="1"/>
    <col min="11524" max="11525" width="8.99609375" style="62" customWidth="1"/>
    <col min="11526" max="11526" width="6.6796875" style="62" customWidth="1"/>
    <col min="11527" max="11527" width="14.86328125" style="62" customWidth="1"/>
    <col min="11528" max="11529" width="8.99609375" style="62" customWidth="1"/>
    <col min="11530" max="11530" width="6.953125" style="62" customWidth="1"/>
    <col min="11531" max="11531" width="8.99609375" style="62" customWidth="1"/>
    <col min="11532" max="11532" width="1.76953125" style="62" customWidth="1"/>
    <col min="11533" max="11776" width="8.99609375" style="62" customWidth="1"/>
    <col min="11777" max="11777" width="2.31640625" style="62" customWidth="1"/>
    <col min="11778" max="11778" width="6.953125" style="62" customWidth="1"/>
    <col min="11779" max="11779" width="10.90625" style="62" customWidth="1"/>
    <col min="11780" max="11781" width="8.99609375" style="62" customWidth="1"/>
    <col min="11782" max="11782" width="6.6796875" style="62" customWidth="1"/>
    <col min="11783" max="11783" width="14.86328125" style="62" customWidth="1"/>
    <col min="11784" max="11785" width="8.99609375" style="62" customWidth="1"/>
    <col min="11786" max="11786" width="6.953125" style="62" customWidth="1"/>
    <col min="11787" max="11787" width="8.99609375" style="62" customWidth="1"/>
    <col min="11788" max="11788" width="1.76953125" style="62" customWidth="1"/>
    <col min="11789" max="12032" width="8.99609375" style="62" customWidth="1"/>
    <col min="12033" max="12033" width="2.31640625" style="62" customWidth="1"/>
    <col min="12034" max="12034" width="6.953125" style="62" customWidth="1"/>
    <col min="12035" max="12035" width="10.90625" style="62" customWidth="1"/>
    <col min="12036" max="12037" width="8.99609375" style="62" customWidth="1"/>
    <col min="12038" max="12038" width="6.6796875" style="62" customWidth="1"/>
    <col min="12039" max="12039" width="14.86328125" style="62" customWidth="1"/>
    <col min="12040" max="12041" width="8.99609375" style="62" customWidth="1"/>
    <col min="12042" max="12042" width="6.953125" style="62" customWidth="1"/>
    <col min="12043" max="12043" width="8.99609375" style="62" customWidth="1"/>
    <col min="12044" max="12044" width="1.76953125" style="62" customWidth="1"/>
    <col min="12045" max="12288" width="8.99609375" style="62" customWidth="1"/>
    <col min="12289" max="12289" width="2.31640625" style="62" customWidth="1"/>
    <col min="12290" max="12290" width="6.953125" style="62" customWidth="1"/>
    <col min="12291" max="12291" width="10.90625" style="62" customWidth="1"/>
    <col min="12292" max="12293" width="8.99609375" style="62" customWidth="1"/>
    <col min="12294" max="12294" width="6.6796875" style="62" customWidth="1"/>
    <col min="12295" max="12295" width="14.86328125" style="62" customWidth="1"/>
    <col min="12296" max="12297" width="8.99609375" style="62" customWidth="1"/>
    <col min="12298" max="12298" width="6.953125" style="62" customWidth="1"/>
    <col min="12299" max="12299" width="8.99609375" style="62" customWidth="1"/>
    <col min="12300" max="12300" width="1.76953125" style="62" customWidth="1"/>
    <col min="12301" max="12544" width="8.99609375" style="62" customWidth="1"/>
    <col min="12545" max="12545" width="2.31640625" style="62" customWidth="1"/>
    <col min="12546" max="12546" width="6.953125" style="62" customWidth="1"/>
    <col min="12547" max="12547" width="10.90625" style="62" customWidth="1"/>
    <col min="12548" max="12549" width="8.99609375" style="62" customWidth="1"/>
    <col min="12550" max="12550" width="6.6796875" style="62" customWidth="1"/>
    <col min="12551" max="12551" width="14.86328125" style="62" customWidth="1"/>
    <col min="12552" max="12553" width="8.99609375" style="62" customWidth="1"/>
    <col min="12554" max="12554" width="6.953125" style="62" customWidth="1"/>
    <col min="12555" max="12555" width="8.99609375" style="62" customWidth="1"/>
    <col min="12556" max="12556" width="1.76953125" style="62" customWidth="1"/>
    <col min="12557" max="12800" width="8.99609375" style="62" customWidth="1"/>
    <col min="12801" max="12801" width="2.31640625" style="62" customWidth="1"/>
    <col min="12802" max="12802" width="6.953125" style="62" customWidth="1"/>
    <col min="12803" max="12803" width="10.90625" style="62" customWidth="1"/>
    <col min="12804" max="12805" width="8.99609375" style="62" customWidth="1"/>
    <col min="12806" max="12806" width="6.6796875" style="62" customWidth="1"/>
    <col min="12807" max="12807" width="14.86328125" style="62" customWidth="1"/>
    <col min="12808" max="12809" width="8.99609375" style="62" customWidth="1"/>
    <col min="12810" max="12810" width="6.953125" style="62" customWidth="1"/>
    <col min="12811" max="12811" width="8.99609375" style="62" customWidth="1"/>
    <col min="12812" max="12812" width="1.76953125" style="62" customWidth="1"/>
    <col min="12813" max="13056" width="8.99609375" style="62" customWidth="1"/>
    <col min="13057" max="13057" width="2.31640625" style="62" customWidth="1"/>
    <col min="13058" max="13058" width="6.953125" style="62" customWidth="1"/>
    <col min="13059" max="13059" width="10.90625" style="62" customWidth="1"/>
    <col min="13060" max="13061" width="8.99609375" style="62" customWidth="1"/>
    <col min="13062" max="13062" width="6.6796875" style="62" customWidth="1"/>
    <col min="13063" max="13063" width="14.86328125" style="62" customWidth="1"/>
    <col min="13064" max="13065" width="8.99609375" style="62" customWidth="1"/>
    <col min="13066" max="13066" width="6.953125" style="62" customWidth="1"/>
    <col min="13067" max="13067" width="8.99609375" style="62" customWidth="1"/>
    <col min="13068" max="13068" width="1.76953125" style="62" customWidth="1"/>
    <col min="13069" max="13312" width="8.99609375" style="62" customWidth="1"/>
    <col min="13313" max="13313" width="2.31640625" style="62" customWidth="1"/>
    <col min="13314" max="13314" width="6.953125" style="62" customWidth="1"/>
    <col min="13315" max="13315" width="10.90625" style="62" customWidth="1"/>
    <col min="13316" max="13317" width="8.99609375" style="62" customWidth="1"/>
    <col min="13318" max="13318" width="6.6796875" style="62" customWidth="1"/>
    <col min="13319" max="13319" width="14.86328125" style="62" customWidth="1"/>
    <col min="13320" max="13321" width="8.99609375" style="62" customWidth="1"/>
    <col min="13322" max="13322" width="6.953125" style="62" customWidth="1"/>
    <col min="13323" max="13323" width="8.99609375" style="62" customWidth="1"/>
    <col min="13324" max="13324" width="1.76953125" style="62" customWidth="1"/>
    <col min="13325" max="13568" width="8.99609375" style="62" customWidth="1"/>
    <col min="13569" max="13569" width="2.31640625" style="62" customWidth="1"/>
    <col min="13570" max="13570" width="6.953125" style="62" customWidth="1"/>
    <col min="13571" max="13571" width="10.90625" style="62" customWidth="1"/>
    <col min="13572" max="13573" width="8.99609375" style="62" customWidth="1"/>
    <col min="13574" max="13574" width="6.6796875" style="62" customWidth="1"/>
    <col min="13575" max="13575" width="14.86328125" style="62" customWidth="1"/>
    <col min="13576" max="13577" width="8.99609375" style="62" customWidth="1"/>
    <col min="13578" max="13578" width="6.953125" style="62" customWidth="1"/>
    <col min="13579" max="13579" width="8.99609375" style="62" customWidth="1"/>
    <col min="13580" max="13580" width="1.76953125" style="62" customWidth="1"/>
    <col min="13581" max="13824" width="8.99609375" style="62" customWidth="1"/>
    <col min="13825" max="13825" width="2.31640625" style="62" customWidth="1"/>
    <col min="13826" max="13826" width="6.953125" style="62" customWidth="1"/>
    <col min="13827" max="13827" width="10.90625" style="62" customWidth="1"/>
    <col min="13828" max="13829" width="8.99609375" style="62" customWidth="1"/>
    <col min="13830" max="13830" width="6.6796875" style="62" customWidth="1"/>
    <col min="13831" max="13831" width="14.86328125" style="62" customWidth="1"/>
    <col min="13832" max="13833" width="8.99609375" style="62" customWidth="1"/>
    <col min="13834" max="13834" width="6.953125" style="62" customWidth="1"/>
    <col min="13835" max="13835" width="8.99609375" style="62" customWidth="1"/>
    <col min="13836" max="13836" width="1.76953125" style="62" customWidth="1"/>
    <col min="13837" max="14080" width="8.99609375" style="62" customWidth="1"/>
    <col min="14081" max="14081" width="2.31640625" style="62" customWidth="1"/>
    <col min="14082" max="14082" width="6.953125" style="62" customWidth="1"/>
    <col min="14083" max="14083" width="10.90625" style="62" customWidth="1"/>
    <col min="14084" max="14085" width="8.99609375" style="62" customWidth="1"/>
    <col min="14086" max="14086" width="6.6796875" style="62" customWidth="1"/>
    <col min="14087" max="14087" width="14.86328125" style="62" customWidth="1"/>
    <col min="14088" max="14089" width="8.99609375" style="62" customWidth="1"/>
    <col min="14090" max="14090" width="6.953125" style="62" customWidth="1"/>
    <col min="14091" max="14091" width="8.99609375" style="62" customWidth="1"/>
    <col min="14092" max="14092" width="1.76953125" style="62" customWidth="1"/>
    <col min="14093" max="14336" width="8.99609375" style="62" customWidth="1"/>
    <col min="14337" max="14337" width="2.31640625" style="62" customWidth="1"/>
    <col min="14338" max="14338" width="6.953125" style="62" customWidth="1"/>
    <col min="14339" max="14339" width="10.90625" style="62" customWidth="1"/>
    <col min="14340" max="14341" width="8.99609375" style="62" customWidth="1"/>
    <col min="14342" max="14342" width="6.6796875" style="62" customWidth="1"/>
    <col min="14343" max="14343" width="14.86328125" style="62" customWidth="1"/>
    <col min="14344" max="14345" width="8.99609375" style="62" customWidth="1"/>
    <col min="14346" max="14346" width="6.953125" style="62" customWidth="1"/>
    <col min="14347" max="14347" width="8.99609375" style="62" customWidth="1"/>
    <col min="14348" max="14348" width="1.76953125" style="62" customWidth="1"/>
    <col min="14349" max="14592" width="8.99609375" style="62" customWidth="1"/>
    <col min="14593" max="14593" width="2.31640625" style="62" customWidth="1"/>
    <col min="14594" max="14594" width="6.953125" style="62" customWidth="1"/>
    <col min="14595" max="14595" width="10.90625" style="62" customWidth="1"/>
    <col min="14596" max="14597" width="8.99609375" style="62" customWidth="1"/>
    <col min="14598" max="14598" width="6.6796875" style="62" customWidth="1"/>
    <col min="14599" max="14599" width="14.86328125" style="62" customWidth="1"/>
    <col min="14600" max="14601" width="8.99609375" style="62" customWidth="1"/>
    <col min="14602" max="14602" width="6.953125" style="62" customWidth="1"/>
    <col min="14603" max="14603" width="8.99609375" style="62" customWidth="1"/>
    <col min="14604" max="14604" width="1.76953125" style="62" customWidth="1"/>
    <col min="14605" max="14848" width="8.99609375" style="62" customWidth="1"/>
    <col min="14849" max="14849" width="2.31640625" style="62" customWidth="1"/>
    <col min="14850" max="14850" width="6.953125" style="62" customWidth="1"/>
    <col min="14851" max="14851" width="10.90625" style="62" customWidth="1"/>
    <col min="14852" max="14853" width="8.99609375" style="62" customWidth="1"/>
    <col min="14854" max="14854" width="6.6796875" style="62" customWidth="1"/>
    <col min="14855" max="14855" width="14.86328125" style="62" customWidth="1"/>
    <col min="14856" max="14857" width="8.99609375" style="62" customWidth="1"/>
    <col min="14858" max="14858" width="6.953125" style="62" customWidth="1"/>
    <col min="14859" max="14859" width="8.99609375" style="62" customWidth="1"/>
    <col min="14860" max="14860" width="1.76953125" style="62" customWidth="1"/>
    <col min="14861" max="15104" width="8.99609375" style="62" customWidth="1"/>
    <col min="15105" max="15105" width="2.31640625" style="62" customWidth="1"/>
    <col min="15106" max="15106" width="6.953125" style="62" customWidth="1"/>
    <col min="15107" max="15107" width="10.90625" style="62" customWidth="1"/>
    <col min="15108" max="15109" width="8.99609375" style="62" customWidth="1"/>
    <col min="15110" max="15110" width="6.6796875" style="62" customWidth="1"/>
    <col min="15111" max="15111" width="14.86328125" style="62" customWidth="1"/>
    <col min="15112" max="15113" width="8.99609375" style="62" customWidth="1"/>
    <col min="15114" max="15114" width="6.953125" style="62" customWidth="1"/>
    <col min="15115" max="15115" width="8.99609375" style="62" customWidth="1"/>
    <col min="15116" max="15116" width="1.76953125" style="62" customWidth="1"/>
    <col min="15117" max="15360" width="8.99609375" style="62" customWidth="1"/>
    <col min="15361" max="15361" width="2.31640625" style="62" customWidth="1"/>
    <col min="15362" max="15362" width="6.953125" style="62" customWidth="1"/>
    <col min="15363" max="15363" width="10.90625" style="62" customWidth="1"/>
    <col min="15364" max="15365" width="8.99609375" style="62" customWidth="1"/>
    <col min="15366" max="15366" width="6.6796875" style="62" customWidth="1"/>
    <col min="15367" max="15367" width="14.86328125" style="62" customWidth="1"/>
    <col min="15368" max="15369" width="8.99609375" style="62" customWidth="1"/>
    <col min="15370" max="15370" width="6.953125" style="62" customWidth="1"/>
    <col min="15371" max="15371" width="8.99609375" style="62" customWidth="1"/>
    <col min="15372" max="15372" width="1.76953125" style="62" customWidth="1"/>
    <col min="15373" max="15616" width="8.99609375" style="62" customWidth="1"/>
    <col min="15617" max="15617" width="2.31640625" style="62" customWidth="1"/>
    <col min="15618" max="15618" width="6.953125" style="62" customWidth="1"/>
    <col min="15619" max="15619" width="10.90625" style="62" customWidth="1"/>
    <col min="15620" max="15621" width="8.99609375" style="62" customWidth="1"/>
    <col min="15622" max="15622" width="6.6796875" style="62" customWidth="1"/>
    <col min="15623" max="15623" width="14.86328125" style="62" customWidth="1"/>
    <col min="15624" max="15625" width="8.99609375" style="62" customWidth="1"/>
    <col min="15626" max="15626" width="6.953125" style="62" customWidth="1"/>
    <col min="15627" max="15627" width="8.99609375" style="62" customWidth="1"/>
    <col min="15628" max="15628" width="1.76953125" style="62" customWidth="1"/>
    <col min="15629" max="15872" width="8.99609375" style="62" customWidth="1"/>
    <col min="15873" max="15873" width="2.31640625" style="62" customWidth="1"/>
    <col min="15874" max="15874" width="6.953125" style="62" customWidth="1"/>
    <col min="15875" max="15875" width="10.90625" style="62" customWidth="1"/>
    <col min="15876" max="15877" width="8.99609375" style="62" customWidth="1"/>
    <col min="15878" max="15878" width="6.6796875" style="62" customWidth="1"/>
    <col min="15879" max="15879" width="14.86328125" style="62" customWidth="1"/>
    <col min="15880" max="15881" width="8.99609375" style="62" customWidth="1"/>
    <col min="15882" max="15882" width="6.953125" style="62" customWidth="1"/>
    <col min="15883" max="15883" width="8.99609375" style="62" customWidth="1"/>
    <col min="15884" max="15884" width="1.76953125" style="62" customWidth="1"/>
    <col min="15885" max="16128" width="8.99609375" style="62" customWidth="1"/>
    <col min="16129" max="16129" width="2.31640625" style="62" customWidth="1"/>
    <col min="16130" max="16130" width="6.953125" style="62" customWidth="1"/>
    <col min="16131" max="16131" width="10.90625" style="62" customWidth="1"/>
    <col min="16132" max="16133" width="8.99609375" style="62" customWidth="1"/>
    <col min="16134" max="16134" width="6.6796875" style="62" customWidth="1"/>
    <col min="16135" max="16135" width="14.86328125" style="62" customWidth="1"/>
    <col min="16136" max="16137" width="8.99609375" style="62" customWidth="1"/>
    <col min="16138" max="16138" width="6.953125" style="62" customWidth="1"/>
    <col min="16139" max="16139" width="8.99609375" style="62" customWidth="1"/>
    <col min="16140" max="16140" width="1.76953125" style="62" customWidth="1"/>
    <col min="16141" max="16384" width="8.99609375" style="62" customWidth="1"/>
  </cols>
  <sheetData>
    <row r="1" spans="2:2" x14ac:dyDescent="0.25">
      <c r="B1" s="63" t="s">
        <v>94</v>
      </c>
    </row>
    <row r="2" ht="13.5" customHeight="1" spans="5:7" x14ac:dyDescent="0.25">
      <c r="E2" s="64"/>
      <c r="F2" s="64"/>
      <c r="G2" s="64"/>
    </row>
    <row r="3" ht="13.5" customHeight="1" spans="5:7" x14ac:dyDescent="0.25">
      <c r="E3" s="64"/>
      <c r="F3" s="64"/>
      <c r="G3" s="64"/>
    </row>
    <row r="4" ht="13.5" customHeight="1" spans="4:9" x14ac:dyDescent="0.25">
      <c r="D4" s="65" t="s">
        <v>95</v>
      </c>
      <c r="E4" s="65"/>
      <c r="F4" s="65"/>
      <c r="G4" s="65"/>
      <c r="H4" s="65"/>
      <c r="I4" s="65"/>
    </row>
    <row r="5" ht="13.5" customHeight="1" spans="4:9" x14ac:dyDescent="0.25">
      <c r="D5" s="65"/>
      <c r="E5" s="65"/>
      <c r="F5" s="65"/>
      <c r="G5" s="65"/>
      <c r="H5" s="65"/>
      <c r="I5" s="65"/>
    </row>
    <row r="6" ht="13.5" customHeight="1" spans="4:9" x14ac:dyDescent="0.25">
      <c r="D6" s="65"/>
      <c r="E6" s="65"/>
      <c r="F6" s="65"/>
      <c r="G6" s="65"/>
      <c r="H6" s="65"/>
      <c r="I6" s="65"/>
    </row>
    <row r="7" ht="13.5" customHeight="1" spans="4:9" x14ac:dyDescent="0.25">
      <c r="D7" s="65"/>
      <c r="E7" s="65"/>
      <c r="F7" s="65"/>
      <c r="G7" s="65"/>
      <c r="H7" s="65"/>
      <c r="I7" s="65"/>
    </row>
    <row r="9" ht="24" customHeight="1" spans="3:3" x14ac:dyDescent="0.25">
      <c r="C9" s="66" t="s">
        <v>96</v>
      </c>
    </row>
    <row r="10" ht="15.75" customHeight="1" spans="3:3" x14ac:dyDescent="0.25">
      <c r="C10" s="66"/>
    </row>
    <row r="11" ht="24" customHeight="1" spans="3:10" x14ac:dyDescent="0.25">
      <c r="C11" s="66"/>
      <c r="F11" s="67" t="s">
        <v>97</v>
      </c>
      <c r="G11" s="67"/>
      <c r="H11" s="68">
        <v>0.6666666666678793</v>
      </c>
      <c r="I11" s="69"/>
      <c r="J11" s="69"/>
    </row>
    <row r="12" ht="24" customHeight="1" spans="3:10" x14ac:dyDescent="0.25">
      <c r="C12" s="66"/>
      <c r="F12" s="70" t="s">
        <v>98</v>
      </c>
      <c r="G12" s="71"/>
      <c r="H12" s="72">
        <v>0.75</v>
      </c>
      <c r="I12" s="71"/>
      <c r="J12" s="71"/>
    </row>
    <row r="15" ht="13.5" customHeight="1" spans="3:10" x14ac:dyDescent="0.25">
      <c r="C15" s="66"/>
      <c r="D15" s="73" t="s">
        <v>99</v>
      </c>
      <c r="E15" s="73"/>
      <c r="F15" s="73"/>
      <c r="G15" s="73"/>
      <c r="H15" s="73"/>
      <c r="I15" s="74">
        <v>51</v>
      </c>
      <c r="J15" s="74"/>
    </row>
    <row r="16" ht="13.5" customHeight="1" spans="3:10" x14ac:dyDescent="0.25">
      <c r="C16" s="66"/>
      <c r="D16" s="75"/>
      <c r="E16" s="75"/>
      <c r="F16" s="75"/>
      <c r="G16" s="75"/>
      <c r="H16" s="75"/>
      <c r="I16" s="76"/>
      <c r="J16" s="76"/>
    </row>
    <row r="17" ht="13.5" customHeight="1" spans="3:10" x14ac:dyDescent="0.25">
      <c r="C17" s="66"/>
      <c r="D17" s="73" t="s">
        <v>100</v>
      </c>
      <c r="E17" s="73"/>
      <c r="F17" s="73"/>
      <c r="G17" s="73"/>
      <c r="H17" s="73"/>
      <c r="I17" s="77">
        <v>1</v>
      </c>
      <c r="J17" s="77"/>
    </row>
    <row r="18" ht="13.5" customHeight="1" spans="3:10" x14ac:dyDescent="0.25">
      <c r="C18" s="66"/>
      <c r="D18" s="75"/>
      <c r="E18" s="75"/>
      <c r="F18" s="75"/>
      <c r="G18" s="75"/>
      <c r="H18" s="75"/>
      <c r="I18" s="76"/>
      <c r="J18" s="76"/>
    </row>
    <row r="21" ht="24" customHeight="1" spans="3:10" x14ac:dyDescent="0.25">
      <c r="C21" s="78" t="s">
        <v>101</v>
      </c>
      <c r="D21" s="79"/>
      <c r="E21" s="79"/>
      <c r="F21" s="80"/>
      <c r="G21" s="81" t="s">
        <v>102</v>
      </c>
      <c r="H21" s="78" t="s">
        <v>103</v>
      </c>
      <c r="I21" s="79"/>
      <c r="J21" s="80"/>
    </row>
    <row r="22" ht="24" customHeight="1" spans="3:10" x14ac:dyDescent="0.25">
      <c r="C22" s="82" t="s">
        <v>104</v>
      </c>
      <c r="D22" s="83"/>
      <c r="E22" s="83"/>
      <c r="F22" s="83"/>
      <c r="G22" s="84">
        <v>2</v>
      </c>
      <c r="H22" s="85">
        <v>61606</v>
      </c>
      <c r="I22" s="86"/>
      <c r="J22" s="87"/>
    </row>
    <row r="23" ht="24" customHeight="1" spans="3:10" x14ac:dyDescent="0.25">
      <c r="C23" s="82" t="s">
        <v>105</v>
      </c>
      <c r="D23" s="83"/>
      <c r="E23" s="83"/>
      <c r="F23" s="83"/>
      <c r="G23" s="84">
        <v>2</v>
      </c>
      <c r="H23" s="88">
        <f>野菜!K37+野菜!K74+野菜!K111</f>
        <v>238943</v>
      </c>
      <c r="I23" s="89"/>
      <c r="J23" s="90"/>
    </row>
    <row r="24" ht="24" customHeight="1" spans="3:10" x14ac:dyDescent="0.25">
      <c r="C24" s="82" t="s">
        <v>106</v>
      </c>
      <c r="D24" s="83"/>
      <c r="E24" s="83"/>
      <c r="F24" s="83"/>
      <c r="G24" s="91"/>
      <c r="H24" s="85"/>
      <c r="I24" s="86"/>
      <c r="J24" s="87"/>
    </row>
    <row r="25" ht="24" customHeight="1" spans="3:10" x14ac:dyDescent="0.25">
      <c r="C25" s="82" t="s">
        <v>107</v>
      </c>
      <c r="D25" s="83"/>
      <c r="E25" s="83"/>
      <c r="F25" s="83"/>
      <c r="G25" s="91"/>
      <c r="H25" s="85"/>
      <c r="I25" s="86"/>
      <c r="J25" s="87"/>
    </row>
    <row r="26" ht="24" customHeight="1" spans="3:10" x14ac:dyDescent="0.25">
      <c r="C26" s="92" t="s">
        <v>108</v>
      </c>
      <c r="D26" s="93"/>
      <c r="E26" s="93"/>
      <c r="F26" s="94"/>
      <c r="G26" s="95">
        <f>SUM(G22:G25)</f>
        <v>4</v>
      </c>
      <c r="H26" s="85">
        <f>SUM(H22:J25)</f>
        <v>300549</v>
      </c>
      <c r="I26" s="86"/>
      <c r="J26" s="87"/>
    </row>
    <row r="27" ht="24" customHeight="1" spans="3:10" x14ac:dyDescent="0.25">
      <c r="C27" s="62"/>
      <c r="D27" s="62"/>
      <c r="E27" s="62"/>
      <c r="F27" s="62"/>
      <c r="G27" s="62"/>
      <c r="H27" s="62"/>
      <c r="I27" s="62"/>
      <c r="J27" s="62"/>
    </row>
    <row r="29" spans="11:11" x14ac:dyDescent="0.25">
      <c r="K29" s="84" t="s">
        <v>5</v>
      </c>
    </row>
    <row r="30" spans="11:11" x14ac:dyDescent="0.25">
      <c r="K30" s="96"/>
    </row>
    <row r="31" spans="11:11" x14ac:dyDescent="0.25">
      <c r="K31" s="96"/>
    </row>
    <row r="32" ht="13.5" customHeight="1" spans="5:11" x14ac:dyDescent="0.25">
      <c r="E32" s="73" t="s">
        <v>109</v>
      </c>
      <c r="F32" s="73"/>
      <c r="G32" s="73"/>
      <c r="H32" s="73"/>
      <c r="I32" s="73"/>
      <c r="K32" s="96"/>
    </row>
    <row r="33" ht="13.5" customHeight="1" spans="5:11" x14ac:dyDescent="0.25">
      <c r="E33" s="75"/>
      <c r="F33" s="75"/>
      <c r="G33" s="75"/>
      <c r="H33" s="75"/>
      <c r="I33" s="75"/>
      <c r="K33" s="97"/>
    </row>
    <row r="34" spans="5:9" x14ac:dyDescent="0.25">
      <c r="E34" s="98"/>
      <c r="F34" s="98"/>
      <c r="G34" s="98"/>
      <c r="H34" s="98"/>
      <c r="I34" s="98"/>
    </row>
    <row r="35" spans="5:9" x14ac:dyDescent="0.25">
      <c r="E35" s="62"/>
      <c r="F35" s="62"/>
      <c r="G35" s="62"/>
      <c r="H35" s="62"/>
      <c r="I35" s="62"/>
    </row>
    <row r="36" ht="18.75" customHeight="1" spans="3:3" x14ac:dyDescent="0.25">
      <c r="C36" s="99" t="s">
        <v>110</v>
      </c>
    </row>
    <row r="37" ht="24" customHeight="1" spans="3:10" x14ac:dyDescent="0.25">
      <c r="C37" s="100" t="s">
        <v>111</v>
      </c>
      <c r="D37" s="78" t="s">
        <v>112</v>
      </c>
      <c r="E37" s="79"/>
      <c r="F37" s="80"/>
      <c r="G37" s="78" t="s">
        <v>113</v>
      </c>
      <c r="H37" s="80"/>
      <c r="I37" s="78" t="s">
        <v>114</v>
      </c>
      <c r="J37" s="80"/>
    </row>
    <row r="38" ht="24" customHeight="1" spans="3:10" x14ac:dyDescent="0.25">
      <c r="C38" s="91"/>
      <c r="D38" s="101"/>
      <c r="E38" s="71"/>
      <c r="F38" s="102"/>
      <c r="G38" s="101"/>
      <c r="H38" s="102"/>
      <c r="I38" s="101"/>
      <c r="J38" s="102"/>
    </row>
    <row r="39" ht="24" customHeight="1" spans="3:10" x14ac:dyDescent="0.25">
      <c r="C39" s="91"/>
      <c r="D39" s="101"/>
      <c r="E39" s="71"/>
      <c r="F39" s="102"/>
      <c r="G39" s="101"/>
      <c r="H39" s="102"/>
      <c r="I39" s="101"/>
      <c r="J39" s="102"/>
    </row>
    <row r="40" ht="24" customHeight="1" spans="3:10" x14ac:dyDescent="0.25">
      <c r="C40" s="91"/>
      <c r="D40" s="101"/>
      <c r="E40" s="71"/>
      <c r="F40" s="102"/>
      <c r="G40" s="101"/>
      <c r="H40" s="102"/>
      <c r="I40" s="101"/>
      <c r="J40" s="102"/>
    </row>
    <row r="41" ht="24" customHeight="1" spans="3:10" x14ac:dyDescent="0.25">
      <c r="C41" s="91"/>
      <c r="D41" s="101"/>
      <c r="E41" s="71"/>
      <c r="F41" s="102"/>
      <c r="G41" s="101"/>
      <c r="H41" s="102"/>
      <c r="I41" s="101"/>
      <c r="J41" s="102"/>
    </row>
    <row r="42" ht="24" customHeight="1" spans="3:10" x14ac:dyDescent="0.25">
      <c r="C42" s="91"/>
      <c r="D42" s="101"/>
      <c r="E42" s="71"/>
      <c r="F42" s="102"/>
      <c r="G42" s="101"/>
      <c r="H42" s="102"/>
      <c r="I42" s="101"/>
      <c r="J42" s="102"/>
    </row>
    <row r="43" ht="24" customHeight="1" spans="3:10" x14ac:dyDescent="0.25">
      <c r="C43" s="91"/>
      <c r="D43" s="101"/>
      <c r="E43" s="71"/>
      <c r="F43" s="102"/>
      <c r="G43" s="101"/>
      <c r="H43" s="102"/>
      <c r="I43" s="101"/>
      <c r="J43" s="102"/>
    </row>
    <row r="44" ht="24" customHeight="1" spans="3:10" x14ac:dyDescent="0.25">
      <c r="C44" s="91"/>
      <c r="D44" s="101"/>
      <c r="E44" s="71"/>
      <c r="F44" s="102"/>
      <c r="G44" s="101"/>
      <c r="H44" s="102"/>
      <c r="I44" s="101"/>
      <c r="J44" s="102"/>
    </row>
    <row r="45" ht="24" customHeight="1" spans="3:10" x14ac:dyDescent="0.25">
      <c r="C45" s="91"/>
      <c r="D45" s="101"/>
      <c r="E45" s="71"/>
      <c r="F45" s="102"/>
      <c r="G45" s="101"/>
      <c r="H45" s="102"/>
      <c r="I45" s="101"/>
      <c r="J45" s="102"/>
    </row>
  </sheetData>
  <mergeCells count="41">
    <mergeCell ref="D4:I6"/>
    <mergeCell ref="D15:H16"/>
    <mergeCell ref="I15:J16"/>
    <mergeCell ref="D17:H18"/>
    <mergeCell ref="I17:J18"/>
    <mergeCell ref="C21:F21"/>
    <mergeCell ref="H21:J21"/>
    <mergeCell ref="H22:J22"/>
    <mergeCell ref="H23:J23"/>
    <mergeCell ref="H24:J24"/>
    <mergeCell ref="H25:J25"/>
    <mergeCell ref="C26:F26"/>
    <mergeCell ref="H26:J26"/>
    <mergeCell ref="E32:I33"/>
    <mergeCell ref="D37:F37"/>
    <mergeCell ref="G37:H37"/>
    <mergeCell ref="I37:J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3:F43"/>
    <mergeCell ref="G43:H43"/>
    <mergeCell ref="I43:J43"/>
    <mergeCell ref="D44:F44"/>
    <mergeCell ref="G44:H44"/>
    <mergeCell ref="I44:J44"/>
    <mergeCell ref="D45:F45"/>
    <mergeCell ref="G45:H45"/>
    <mergeCell ref="I45:J45"/>
  </mergeCells>
  <pageMargins left="0.7" right="0.7" top="0.75" bottom="0.75" header="0.3" footer="0.3"/>
  <pageSetup paperSize="9" orientation="portrait" horizontalDpi="4294967295" verticalDpi="4294967295" scale="94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zoomScale="60" zoomScaleNormal="100" view="pageBreakPreview">
      <selection activeCell="H22" sqref="H22"/>
    </sheetView>
  </sheetViews>
  <sheetFormatPr defaultRowHeight="13.5" outlineLevelRow="0" outlineLevelCol="0" x14ac:dyDescent="0.1" customHeight="1"/>
  <cols>
    <col min="1" max="1" width="2.31640625" customWidth="1"/>
    <col min="2" max="2" width="6.953125" customWidth="1"/>
    <col min="3" max="3" width="10.90625" customWidth="1"/>
    <col min="6" max="6" width="6.6796875" customWidth="1"/>
    <col min="7" max="7" width="14.86328125" customWidth="1"/>
    <col min="8" max="8" width="7.76953125" customWidth="1"/>
    <col min="10" max="10" width="7.2265625" customWidth="1"/>
    <col min="12" max="12" width="1.76953125" customWidth="1"/>
    <col min="257" max="257" width="2.31640625" customWidth="1"/>
    <col min="258" max="258" width="6.953125" customWidth="1"/>
    <col min="259" max="259" width="10.90625" customWidth="1"/>
    <col min="262" max="262" width="6.6796875" customWidth="1"/>
    <col min="263" max="263" width="14.86328125" customWidth="1"/>
    <col min="264" max="264" width="7.76953125" customWidth="1"/>
    <col min="266" max="266" width="7.2265625" customWidth="1"/>
    <col min="268" max="268" width="1.76953125" customWidth="1"/>
    <col min="513" max="513" width="2.31640625" customWidth="1"/>
    <col min="514" max="514" width="6.953125" customWidth="1"/>
    <col min="515" max="515" width="10.90625" customWidth="1"/>
    <col min="518" max="518" width="6.6796875" customWidth="1"/>
    <col min="519" max="519" width="14.86328125" customWidth="1"/>
    <col min="520" max="520" width="7.76953125" customWidth="1"/>
    <col min="522" max="522" width="7.2265625" customWidth="1"/>
    <col min="524" max="524" width="1.76953125" customWidth="1"/>
    <col min="769" max="769" width="2.31640625" customWidth="1"/>
    <col min="770" max="770" width="6.953125" customWidth="1"/>
    <col min="771" max="771" width="10.90625" customWidth="1"/>
    <col min="774" max="774" width="6.6796875" customWidth="1"/>
    <col min="775" max="775" width="14.86328125" customWidth="1"/>
    <col min="776" max="776" width="7.76953125" customWidth="1"/>
    <col min="778" max="778" width="7.2265625" customWidth="1"/>
    <col min="780" max="780" width="1.76953125" customWidth="1"/>
    <col min="1025" max="1025" width="2.31640625" customWidth="1"/>
    <col min="1026" max="1026" width="6.953125" customWidth="1"/>
    <col min="1027" max="1027" width="10.90625" customWidth="1"/>
    <col min="1030" max="1030" width="6.6796875" customWidth="1"/>
    <col min="1031" max="1031" width="14.86328125" customWidth="1"/>
    <col min="1032" max="1032" width="7.76953125" customWidth="1"/>
    <col min="1034" max="1034" width="7.2265625" customWidth="1"/>
    <col min="1036" max="1036" width="1.76953125" customWidth="1"/>
    <col min="1281" max="1281" width="2.31640625" customWidth="1"/>
    <col min="1282" max="1282" width="6.953125" customWidth="1"/>
    <col min="1283" max="1283" width="10.90625" customWidth="1"/>
    <col min="1286" max="1286" width="6.6796875" customWidth="1"/>
    <col min="1287" max="1287" width="14.86328125" customWidth="1"/>
    <col min="1288" max="1288" width="7.76953125" customWidth="1"/>
    <col min="1290" max="1290" width="7.2265625" customWidth="1"/>
    <col min="1292" max="1292" width="1.76953125" customWidth="1"/>
    <col min="1537" max="1537" width="2.31640625" customWidth="1"/>
    <col min="1538" max="1538" width="6.953125" customWidth="1"/>
    <col min="1539" max="1539" width="10.90625" customWidth="1"/>
    <col min="1542" max="1542" width="6.6796875" customWidth="1"/>
    <col min="1543" max="1543" width="14.86328125" customWidth="1"/>
    <col min="1544" max="1544" width="7.76953125" customWidth="1"/>
    <col min="1546" max="1546" width="7.2265625" customWidth="1"/>
    <col min="1548" max="1548" width="1.76953125" customWidth="1"/>
    <col min="1793" max="1793" width="2.31640625" customWidth="1"/>
    <col min="1794" max="1794" width="6.953125" customWidth="1"/>
    <col min="1795" max="1795" width="10.90625" customWidth="1"/>
    <col min="1798" max="1798" width="6.6796875" customWidth="1"/>
    <col min="1799" max="1799" width="14.86328125" customWidth="1"/>
    <col min="1800" max="1800" width="7.76953125" customWidth="1"/>
    <col min="1802" max="1802" width="7.2265625" customWidth="1"/>
    <col min="1804" max="1804" width="1.76953125" customWidth="1"/>
    <col min="2049" max="2049" width="2.31640625" customWidth="1"/>
    <col min="2050" max="2050" width="6.953125" customWidth="1"/>
    <col min="2051" max="2051" width="10.90625" customWidth="1"/>
    <col min="2054" max="2054" width="6.6796875" customWidth="1"/>
    <col min="2055" max="2055" width="14.86328125" customWidth="1"/>
    <col min="2056" max="2056" width="7.76953125" customWidth="1"/>
    <col min="2058" max="2058" width="7.2265625" customWidth="1"/>
    <col min="2060" max="2060" width="1.76953125" customWidth="1"/>
    <col min="2305" max="2305" width="2.31640625" customWidth="1"/>
    <col min="2306" max="2306" width="6.953125" customWidth="1"/>
    <col min="2307" max="2307" width="10.90625" customWidth="1"/>
    <col min="2310" max="2310" width="6.6796875" customWidth="1"/>
    <col min="2311" max="2311" width="14.86328125" customWidth="1"/>
    <col min="2312" max="2312" width="7.76953125" customWidth="1"/>
    <col min="2314" max="2314" width="7.2265625" customWidth="1"/>
    <col min="2316" max="2316" width="1.76953125" customWidth="1"/>
    <col min="2561" max="2561" width="2.31640625" customWidth="1"/>
    <col min="2562" max="2562" width="6.953125" customWidth="1"/>
    <col min="2563" max="2563" width="10.90625" customWidth="1"/>
    <col min="2566" max="2566" width="6.6796875" customWidth="1"/>
    <col min="2567" max="2567" width="14.86328125" customWidth="1"/>
    <col min="2568" max="2568" width="7.76953125" customWidth="1"/>
    <col min="2570" max="2570" width="7.2265625" customWidth="1"/>
    <col min="2572" max="2572" width="1.76953125" customWidth="1"/>
    <col min="2817" max="2817" width="2.31640625" customWidth="1"/>
    <col min="2818" max="2818" width="6.953125" customWidth="1"/>
    <col min="2819" max="2819" width="10.90625" customWidth="1"/>
    <col min="2822" max="2822" width="6.6796875" customWidth="1"/>
    <col min="2823" max="2823" width="14.86328125" customWidth="1"/>
    <col min="2824" max="2824" width="7.76953125" customWidth="1"/>
    <col min="2826" max="2826" width="7.2265625" customWidth="1"/>
    <col min="2828" max="2828" width="1.76953125" customWidth="1"/>
    <col min="3073" max="3073" width="2.31640625" customWidth="1"/>
    <col min="3074" max="3074" width="6.953125" customWidth="1"/>
    <col min="3075" max="3075" width="10.90625" customWidth="1"/>
    <col min="3078" max="3078" width="6.6796875" customWidth="1"/>
    <col min="3079" max="3079" width="14.86328125" customWidth="1"/>
    <col min="3080" max="3080" width="7.76953125" customWidth="1"/>
    <col min="3082" max="3082" width="7.2265625" customWidth="1"/>
    <col min="3084" max="3084" width="1.76953125" customWidth="1"/>
    <col min="3329" max="3329" width="2.31640625" customWidth="1"/>
    <col min="3330" max="3330" width="6.953125" customWidth="1"/>
    <col min="3331" max="3331" width="10.90625" customWidth="1"/>
    <col min="3334" max="3334" width="6.6796875" customWidth="1"/>
    <col min="3335" max="3335" width="14.86328125" customWidth="1"/>
    <col min="3336" max="3336" width="7.76953125" customWidth="1"/>
    <col min="3338" max="3338" width="7.2265625" customWidth="1"/>
    <col min="3340" max="3340" width="1.76953125" customWidth="1"/>
    <col min="3585" max="3585" width="2.31640625" customWidth="1"/>
    <col min="3586" max="3586" width="6.953125" customWidth="1"/>
    <col min="3587" max="3587" width="10.90625" customWidth="1"/>
    <col min="3590" max="3590" width="6.6796875" customWidth="1"/>
    <col min="3591" max="3591" width="14.86328125" customWidth="1"/>
    <col min="3592" max="3592" width="7.76953125" customWidth="1"/>
    <col min="3594" max="3594" width="7.2265625" customWidth="1"/>
    <col min="3596" max="3596" width="1.76953125" customWidth="1"/>
    <col min="3841" max="3841" width="2.31640625" customWidth="1"/>
    <col min="3842" max="3842" width="6.953125" customWidth="1"/>
    <col min="3843" max="3843" width="10.90625" customWidth="1"/>
    <col min="3846" max="3846" width="6.6796875" customWidth="1"/>
    <col min="3847" max="3847" width="14.86328125" customWidth="1"/>
    <col min="3848" max="3848" width="7.76953125" customWidth="1"/>
    <col min="3850" max="3850" width="7.2265625" customWidth="1"/>
    <col min="3852" max="3852" width="1.76953125" customWidth="1"/>
    <col min="4097" max="4097" width="2.31640625" customWidth="1"/>
    <col min="4098" max="4098" width="6.953125" customWidth="1"/>
    <col min="4099" max="4099" width="10.90625" customWidth="1"/>
    <col min="4102" max="4102" width="6.6796875" customWidth="1"/>
    <col min="4103" max="4103" width="14.86328125" customWidth="1"/>
    <col min="4104" max="4104" width="7.76953125" customWidth="1"/>
    <col min="4106" max="4106" width="7.2265625" customWidth="1"/>
    <col min="4108" max="4108" width="1.76953125" customWidth="1"/>
    <col min="4353" max="4353" width="2.31640625" customWidth="1"/>
    <col min="4354" max="4354" width="6.953125" customWidth="1"/>
    <col min="4355" max="4355" width="10.90625" customWidth="1"/>
    <col min="4358" max="4358" width="6.6796875" customWidth="1"/>
    <col min="4359" max="4359" width="14.86328125" customWidth="1"/>
    <col min="4360" max="4360" width="7.76953125" customWidth="1"/>
    <col min="4362" max="4362" width="7.2265625" customWidth="1"/>
    <col min="4364" max="4364" width="1.76953125" customWidth="1"/>
    <col min="4609" max="4609" width="2.31640625" customWidth="1"/>
    <col min="4610" max="4610" width="6.953125" customWidth="1"/>
    <col min="4611" max="4611" width="10.90625" customWidth="1"/>
    <col min="4614" max="4614" width="6.6796875" customWidth="1"/>
    <col min="4615" max="4615" width="14.86328125" customWidth="1"/>
    <col min="4616" max="4616" width="7.76953125" customWidth="1"/>
    <col min="4618" max="4618" width="7.2265625" customWidth="1"/>
    <col min="4620" max="4620" width="1.76953125" customWidth="1"/>
    <col min="4865" max="4865" width="2.31640625" customWidth="1"/>
    <col min="4866" max="4866" width="6.953125" customWidth="1"/>
    <col min="4867" max="4867" width="10.90625" customWidth="1"/>
    <col min="4870" max="4870" width="6.6796875" customWidth="1"/>
    <col min="4871" max="4871" width="14.86328125" customWidth="1"/>
    <col min="4872" max="4872" width="7.76953125" customWidth="1"/>
    <col min="4874" max="4874" width="7.2265625" customWidth="1"/>
    <col min="4876" max="4876" width="1.76953125" customWidth="1"/>
    <col min="5121" max="5121" width="2.31640625" customWidth="1"/>
    <col min="5122" max="5122" width="6.953125" customWidth="1"/>
    <col min="5123" max="5123" width="10.90625" customWidth="1"/>
    <col min="5126" max="5126" width="6.6796875" customWidth="1"/>
    <col min="5127" max="5127" width="14.86328125" customWidth="1"/>
    <col min="5128" max="5128" width="7.76953125" customWidth="1"/>
    <col min="5130" max="5130" width="7.2265625" customWidth="1"/>
    <col min="5132" max="5132" width="1.76953125" customWidth="1"/>
    <col min="5377" max="5377" width="2.31640625" customWidth="1"/>
    <col min="5378" max="5378" width="6.953125" customWidth="1"/>
    <col min="5379" max="5379" width="10.90625" customWidth="1"/>
    <col min="5382" max="5382" width="6.6796875" customWidth="1"/>
    <col min="5383" max="5383" width="14.86328125" customWidth="1"/>
    <col min="5384" max="5384" width="7.76953125" customWidth="1"/>
    <col min="5386" max="5386" width="7.2265625" customWidth="1"/>
    <col min="5388" max="5388" width="1.76953125" customWidth="1"/>
    <col min="5633" max="5633" width="2.31640625" customWidth="1"/>
    <col min="5634" max="5634" width="6.953125" customWidth="1"/>
    <col min="5635" max="5635" width="10.90625" customWidth="1"/>
    <col min="5638" max="5638" width="6.6796875" customWidth="1"/>
    <col min="5639" max="5639" width="14.86328125" customWidth="1"/>
    <col min="5640" max="5640" width="7.76953125" customWidth="1"/>
    <col min="5642" max="5642" width="7.2265625" customWidth="1"/>
    <col min="5644" max="5644" width="1.76953125" customWidth="1"/>
    <col min="5889" max="5889" width="2.31640625" customWidth="1"/>
    <col min="5890" max="5890" width="6.953125" customWidth="1"/>
    <col min="5891" max="5891" width="10.90625" customWidth="1"/>
    <col min="5894" max="5894" width="6.6796875" customWidth="1"/>
    <col min="5895" max="5895" width="14.86328125" customWidth="1"/>
    <col min="5896" max="5896" width="7.76953125" customWidth="1"/>
    <col min="5898" max="5898" width="7.2265625" customWidth="1"/>
    <col min="5900" max="5900" width="1.76953125" customWidth="1"/>
    <col min="6145" max="6145" width="2.31640625" customWidth="1"/>
    <col min="6146" max="6146" width="6.953125" customWidth="1"/>
    <col min="6147" max="6147" width="10.90625" customWidth="1"/>
    <col min="6150" max="6150" width="6.6796875" customWidth="1"/>
    <col min="6151" max="6151" width="14.86328125" customWidth="1"/>
    <col min="6152" max="6152" width="7.76953125" customWidth="1"/>
    <col min="6154" max="6154" width="7.2265625" customWidth="1"/>
    <col min="6156" max="6156" width="1.76953125" customWidth="1"/>
    <col min="6401" max="6401" width="2.31640625" customWidth="1"/>
    <col min="6402" max="6402" width="6.953125" customWidth="1"/>
    <col min="6403" max="6403" width="10.90625" customWidth="1"/>
    <col min="6406" max="6406" width="6.6796875" customWidth="1"/>
    <col min="6407" max="6407" width="14.86328125" customWidth="1"/>
    <col min="6408" max="6408" width="7.76953125" customWidth="1"/>
    <col min="6410" max="6410" width="7.2265625" customWidth="1"/>
    <col min="6412" max="6412" width="1.76953125" customWidth="1"/>
    <col min="6657" max="6657" width="2.31640625" customWidth="1"/>
    <col min="6658" max="6658" width="6.953125" customWidth="1"/>
    <col min="6659" max="6659" width="10.90625" customWidth="1"/>
    <col min="6662" max="6662" width="6.6796875" customWidth="1"/>
    <col min="6663" max="6663" width="14.86328125" customWidth="1"/>
    <col min="6664" max="6664" width="7.76953125" customWidth="1"/>
    <col min="6666" max="6666" width="7.2265625" customWidth="1"/>
    <col min="6668" max="6668" width="1.76953125" customWidth="1"/>
    <col min="6913" max="6913" width="2.31640625" customWidth="1"/>
    <col min="6914" max="6914" width="6.953125" customWidth="1"/>
    <col min="6915" max="6915" width="10.90625" customWidth="1"/>
    <col min="6918" max="6918" width="6.6796875" customWidth="1"/>
    <col min="6919" max="6919" width="14.86328125" customWidth="1"/>
    <col min="6920" max="6920" width="7.76953125" customWidth="1"/>
    <col min="6922" max="6922" width="7.2265625" customWidth="1"/>
    <col min="6924" max="6924" width="1.76953125" customWidth="1"/>
    <col min="7169" max="7169" width="2.31640625" customWidth="1"/>
    <col min="7170" max="7170" width="6.953125" customWidth="1"/>
    <col min="7171" max="7171" width="10.90625" customWidth="1"/>
    <col min="7174" max="7174" width="6.6796875" customWidth="1"/>
    <col min="7175" max="7175" width="14.86328125" customWidth="1"/>
    <col min="7176" max="7176" width="7.76953125" customWidth="1"/>
    <col min="7178" max="7178" width="7.2265625" customWidth="1"/>
    <col min="7180" max="7180" width="1.76953125" customWidth="1"/>
    <col min="7425" max="7425" width="2.31640625" customWidth="1"/>
    <col min="7426" max="7426" width="6.953125" customWidth="1"/>
    <col min="7427" max="7427" width="10.90625" customWidth="1"/>
    <col min="7430" max="7430" width="6.6796875" customWidth="1"/>
    <col min="7431" max="7431" width="14.86328125" customWidth="1"/>
    <col min="7432" max="7432" width="7.76953125" customWidth="1"/>
    <col min="7434" max="7434" width="7.2265625" customWidth="1"/>
    <col min="7436" max="7436" width="1.76953125" customWidth="1"/>
    <col min="7681" max="7681" width="2.31640625" customWidth="1"/>
    <col min="7682" max="7682" width="6.953125" customWidth="1"/>
    <col min="7683" max="7683" width="10.90625" customWidth="1"/>
    <col min="7686" max="7686" width="6.6796875" customWidth="1"/>
    <col min="7687" max="7687" width="14.86328125" customWidth="1"/>
    <col min="7688" max="7688" width="7.76953125" customWidth="1"/>
    <col min="7690" max="7690" width="7.2265625" customWidth="1"/>
    <col min="7692" max="7692" width="1.76953125" customWidth="1"/>
    <col min="7937" max="7937" width="2.31640625" customWidth="1"/>
    <col min="7938" max="7938" width="6.953125" customWidth="1"/>
    <col min="7939" max="7939" width="10.90625" customWidth="1"/>
    <col min="7942" max="7942" width="6.6796875" customWidth="1"/>
    <col min="7943" max="7943" width="14.86328125" customWidth="1"/>
    <col min="7944" max="7944" width="7.76953125" customWidth="1"/>
    <col min="7946" max="7946" width="7.2265625" customWidth="1"/>
    <col min="7948" max="7948" width="1.76953125" customWidth="1"/>
    <col min="8193" max="8193" width="2.31640625" customWidth="1"/>
    <col min="8194" max="8194" width="6.953125" customWidth="1"/>
    <col min="8195" max="8195" width="10.90625" customWidth="1"/>
    <col min="8198" max="8198" width="6.6796875" customWidth="1"/>
    <col min="8199" max="8199" width="14.86328125" customWidth="1"/>
    <col min="8200" max="8200" width="7.76953125" customWidth="1"/>
    <col min="8202" max="8202" width="7.2265625" customWidth="1"/>
    <col min="8204" max="8204" width="1.76953125" customWidth="1"/>
    <col min="8449" max="8449" width="2.31640625" customWidth="1"/>
    <col min="8450" max="8450" width="6.953125" customWidth="1"/>
    <col min="8451" max="8451" width="10.90625" customWidth="1"/>
    <col min="8454" max="8454" width="6.6796875" customWidth="1"/>
    <col min="8455" max="8455" width="14.86328125" customWidth="1"/>
    <col min="8456" max="8456" width="7.76953125" customWidth="1"/>
    <col min="8458" max="8458" width="7.2265625" customWidth="1"/>
    <col min="8460" max="8460" width="1.76953125" customWidth="1"/>
    <col min="8705" max="8705" width="2.31640625" customWidth="1"/>
    <col min="8706" max="8706" width="6.953125" customWidth="1"/>
    <col min="8707" max="8707" width="10.90625" customWidth="1"/>
    <col min="8710" max="8710" width="6.6796875" customWidth="1"/>
    <col min="8711" max="8711" width="14.86328125" customWidth="1"/>
    <col min="8712" max="8712" width="7.76953125" customWidth="1"/>
    <col min="8714" max="8714" width="7.2265625" customWidth="1"/>
    <col min="8716" max="8716" width="1.76953125" customWidth="1"/>
    <col min="8961" max="8961" width="2.31640625" customWidth="1"/>
    <col min="8962" max="8962" width="6.953125" customWidth="1"/>
    <col min="8963" max="8963" width="10.90625" customWidth="1"/>
    <col min="8966" max="8966" width="6.6796875" customWidth="1"/>
    <col min="8967" max="8967" width="14.86328125" customWidth="1"/>
    <col min="8968" max="8968" width="7.76953125" customWidth="1"/>
    <col min="8970" max="8970" width="7.2265625" customWidth="1"/>
    <col min="8972" max="8972" width="1.76953125" customWidth="1"/>
    <col min="9217" max="9217" width="2.31640625" customWidth="1"/>
    <col min="9218" max="9218" width="6.953125" customWidth="1"/>
    <col min="9219" max="9219" width="10.90625" customWidth="1"/>
    <col min="9222" max="9222" width="6.6796875" customWidth="1"/>
    <col min="9223" max="9223" width="14.86328125" customWidth="1"/>
    <col min="9224" max="9224" width="7.76953125" customWidth="1"/>
    <col min="9226" max="9226" width="7.2265625" customWidth="1"/>
    <col min="9228" max="9228" width="1.76953125" customWidth="1"/>
    <col min="9473" max="9473" width="2.31640625" customWidth="1"/>
    <col min="9474" max="9474" width="6.953125" customWidth="1"/>
    <col min="9475" max="9475" width="10.90625" customWidth="1"/>
    <col min="9478" max="9478" width="6.6796875" customWidth="1"/>
    <col min="9479" max="9479" width="14.86328125" customWidth="1"/>
    <col min="9480" max="9480" width="7.76953125" customWidth="1"/>
    <col min="9482" max="9482" width="7.2265625" customWidth="1"/>
    <col min="9484" max="9484" width="1.76953125" customWidth="1"/>
    <col min="9729" max="9729" width="2.31640625" customWidth="1"/>
    <col min="9730" max="9730" width="6.953125" customWidth="1"/>
    <col min="9731" max="9731" width="10.90625" customWidth="1"/>
    <col min="9734" max="9734" width="6.6796875" customWidth="1"/>
    <col min="9735" max="9735" width="14.86328125" customWidth="1"/>
    <col min="9736" max="9736" width="7.76953125" customWidth="1"/>
    <col min="9738" max="9738" width="7.2265625" customWidth="1"/>
    <col min="9740" max="9740" width="1.76953125" customWidth="1"/>
    <col min="9985" max="9985" width="2.31640625" customWidth="1"/>
    <col min="9986" max="9986" width="6.953125" customWidth="1"/>
    <col min="9987" max="9987" width="10.90625" customWidth="1"/>
    <col min="9990" max="9990" width="6.6796875" customWidth="1"/>
    <col min="9991" max="9991" width="14.86328125" customWidth="1"/>
    <col min="9992" max="9992" width="7.76953125" customWidth="1"/>
    <col min="9994" max="9994" width="7.2265625" customWidth="1"/>
    <col min="9996" max="9996" width="1.76953125" customWidth="1"/>
    <col min="10241" max="10241" width="2.31640625" customWidth="1"/>
    <col min="10242" max="10242" width="6.953125" customWidth="1"/>
    <col min="10243" max="10243" width="10.90625" customWidth="1"/>
    <col min="10246" max="10246" width="6.6796875" customWidth="1"/>
    <col min="10247" max="10247" width="14.86328125" customWidth="1"/>
    <col min="10248" max="10248" width="7.76953125" customWidth="1"/>
    <col min="10250" max="10250" width="7.2265625" customWidth="1"/>
    <col min="10252" max="10252" width="1.76953125" customWidth="1"/>
    <col min="10497" max="10497" width="2.31640625" customWidth="1"/>
    <col min="10498" max="10498" width="6.953125" customWidth="1"/>
    <col min="10499" max="10499" width="10.90625" customWidth="1"/>
    <col min="10502" max="10502" width="6.6796875" customWidth="1"/>
    <col min="10503" max="10503" width="14.86328125" customWidth="1"/>
    <col min="10504" max="10504" width="7.76953125" customWidth="1"/>
    <col min="10506" max="10506" width="7.2265625" customWidth="1"/>
    <col min="10508" max="10508" width="1.76953125" customWidth="1"/>
    <col min="10753" max="10753" width="2.31640625" customWidth="1"/>
    <col min="10754" max="10754" width="6.953125" customWidth="1"/>
    <col min="10755" max="10755" width="10.90625" customWidth="1"/>
    <col min="10758" max="10758" width="6.6796875" customWidth="1"/>
    <col min="10759" max="10759" width="14.86328125" customWidth="1"/>
    <col min="10760" max="10760" width="7.76953125" customWidth="1"/>
    <col min="10762" max="10762" width="7.2265625" customWidth="1"/>
    <col min="10764" max="10764" width="1.76953125" customWidth="1"/>
    <col min="11009" max="11009" width="2.31640625" customWidth="1"/>
    <col min="11010" max="11010" width="6.953125" customWidth="1"/>
    <col min="11011" max="11011" width="10.90625" customWidth="1"/>
    <col min="11014" max="11014" width="6.6796875" customWidth="1"/>
    <col min="11015" max="11015" width="14.86328125" customWidth="1"/>
    <col min="11016" max="11016" width="7.76953125" customWidth="1"/>
    <col min="11018" max="11018" width="7.2265625" customWidth="1"/>
    <col min="11020" max="11020" width="1.76953125" customWidth="1"/>
    <col min="11265" max="11265" width="2.31640625" customWidth="1"/>
    <col min="11266" max="11266" width="6.953125" customWidth="1"/>
    <col min="11267" max="11267" width="10.90625" customWidth="1"/>
    <col min="11270" max="11270" width="6.6796875" customWidth="1"/>
    <col min="11271" max="11271" width="14.86328125" customWidth="1"/>
    <col min="11272" max="11272" width="7.76953125" customWidth="1"/>
    <col min="11274" max="11274" width="7.2265625" customWidth="1"/>
    <col min="11276" max="11276" width="1.76953125" customWidth="1"/>
    <col min="11521" max="11521" width="2.31640625" customWidth="1"/>
    <col min="11522" max="11522" width="6.953125" customWidth="1"/>
    <col min="11523" max="11523" width="10.90625" customWidth="1"/>
    <col min="11526" max="11526" width="6.6796875" customWidth="1"/>
    <col min="11527" max="11527" width="14.86328125" customWidth="1"/>
    <col min="11528" max="11528" width="7.76953125" customWidth="1"/>
    <col min="11530" max="11530" width="7.2265625" customWidth="1"/>
    <col min="11532" max="11532" width="1.76953125" customWidth="1"/>
    <col min="11777" max="11777" width="2.31640625" customWidth="1"/>
    <col min="11778" max="11778" width="6.953125" customWidth="1"/>
    <col min="11779" max="11779" width="10.90625" customWidth="1"/>
    <col min="11782" max="11782" width="6.6796875" customWidth="1"/>
    <col min="11783" max="11783" width="14.86328125" customWidth="1"/>
    <col min="11784" max="11784" width="7.76953125" customWidth="1"/>
    <col min="11786" max="11786" width="7.2265625" customWidth="1"/>
    <col min="11788" max="11788" width="1.76953125" customWidth="1"/>
    <col min="12033" max="12033" width="2.31640625" customWidth="1"/>
    <col min="12034" max="12034" width="6.953125" customWidth="1"/>
    <col min="12035" max="12035" width="10.90625" customWidth="1"/>
    <col min="12038" max="12038" width="6.6796875" customWidth="1"/>
    <col min="12039" max="12039" width="14.86328125" customWidth="1"/>
    <col min="12040" max="12040" width="7.76953125" customWidth="1"/>
    <col min="12042" max="12042" width="7.2265625" customWidth="1"/>
    <col min="12044" max="12044" width="1.76953125" customWidth="1"/>
    <col min="12289" max="12289" width="2.31640625" customWidth="1"/>
    <col min="12290" max="12290" width="6.953125" customWidth="1"/>
    <col min="12291" max="12291" width="10.90625" customWidth="1"/>
    <col min="12294" max="12294" width="6.6796875" customWidth="1"/>
    <col min="12295" max="12295" width="14.86328125" customWidth="1"/>
    <col min="12296" max="12296" width="7.76953125" customWidth="1"/>
    <col min="12298" max="12298" width="7.2265625" customWidth="1"/>
    <col min="12300" max="12300" width="1.76953125" customWidth="1"/>
    <col min="12545" max="12545" width="2.31640625" customWidth="1"/>
    <col min="12546" max="12546" width="6.953125" customWidth="1"/>
    <col min="12547" max="12547" width="10.90625" customWidth="1"/>
    <col min="12550" max="12550" width="6.6796875" customWidth="1"/>
    <col min="12551" max="12551" width="14.86328125" customWidth="1"/>
    <col min="12552" max="12552" width="7.76953125" customWidth="1"/>
    <col min="12554" max="12554" width="7.2265625" customWidth="1"/>
    <col min="12556" max="12556" width="1.76953125" customWidth="1"/>
    <col min="12801" max="12801" width="2.31640625" customWidth="1"/>
    <col min="12802" max="12802" width="6.953125" customWidth="1"/>
    <col min="12803" max="12803" width="10.90625" customWidth="1"/>
    <col min="12806" max="12806" width="6.6796875" customWidth="1"/>
    <col min="12807" max="12807" width="14.86328125" customWidth="1"/>
    <col min="12808" max="12808" width="7.76953125" customWidth="1"/>
    <col min="12810" max="12810" width="7.2265625" customWidth="1"/>
    <col min="12812" max="12812" width="1.76953125" customWidth="1"/>
    <col min="13057" max="13057" width="2.31640625" customWidth="1"/>
    <col min="13058" max="13058" width="6.953125" customWidth="1"/>
    <col min="13059" max="13059" width="10.90625" customWidth="1"/>
    <col min="13062" max="13062" width="6.6796875" customWidth="1"/>
    <col min="13063" max="13063" width="14.86328125" customWidth="1"/>
    <col min="13064" max="13064" width="7.76953125" customWidth="1"/>
    <col min="13066" max="13066" width="7.2265625" customWidth="1"/>
    <col min="13068" max="13068" width="1.76953125" customWidth="1"/>
    <col min="13313" max="13313" width="2.31640625" customWidth="1"/>
    <col min="13314" max="13314" width="6.953125" customWidth="1"/>
    <col min="13315" max="13315" width="10.90625" customWidth="1"/>
    <col min="13318" max="13318" width="6.6796875" customWidth="1"/>
    <col min="13319" max="13319" width="14.86328125" customWidth="1"/>
    <col min="13320" max="13320" width="7.76953125" customWidth="1"/>
    <col min="13322" max="13322" width="7.2265625" customWidth="1"/>
    <col min="13324" max="13324" width="1.76953125" customWidth="1"/>
    <col min="13569" max="13569" width="2.31640625" customWidth="1"/>
    <col min="13570" max="13570" width="6.953125" customWidth="1"/>
    <col min="13571" max="13571" width="10.90625" customWidth="1"/>
    <col min="13574" max="13574" width="6.6796875" customWidth="1"/>
    <col min="13575" max="13575" width="14.86328125" customWidth="1"/>
    <col min="13576" max="13576" width="7.76953125" customWidth="1"/>
    <col min="13578" max="13578" width="7.2265625" customWidth="1"/>
    <col min="13580" max="13580" width="1.76953125" customWidth="1"/>
    <col min="13825" max="13825" width="2.31640625" customWidth="1"/>
    <col min="13826" max="13826" width="6.953125" customWidth="1"/>
    <col min="13827" max="13827" width="10.90625" customWidth="1"/>
    <col min="13830" max="13830" width="6.6796875" customWidth="1"/>
    <col min="13831" max="13831" width="14.86328125" customWidth="1"/>
    <col min="13832" max="13832" width="7.76953125" customWidth="1"/>
    <col min="13834" max="13834" width="7.2265625" customWidth="1"/>
    <col min="13836" max="13836" width="1.76953125" customWidth="1"/>
    <col min="14081" max="14081" width="2.31640625" customWidth="1"/>
    <col min="14082" max="14082" width="6.953125" customWidth="1"/>
    <col min="14083" max="14083" width="10.90625" customWidth="1"/>
    <col min="14086" max="14086" width="6.6796875" customWidth="1"/>
    <col min="14087" max="14087" width="14.86328125" customWidth="1"/>
    <col min="14088" max="14088" width="7.76953125" customWidth="1"/>
    <col min="14090" max="14090" width="7.2265625" customWidth="1"/>
    <col min="14092" max="14092" width="1.76953125" customWidth="1"/>
    <col min="14337" max="14337" width="2.31640625" customWidth="1"/>
    <col min="14338" max="14338" width="6.953125" customWidth="1"/>
    <col min="14339" max="14339" width="10.90625" customWidth="1"/>
    <col min="14342" max="14342" width="6.6796875" customWidth="1"/>
    <col min="14343" max="14343" width="14.86328125" customWidth="1"/>
    <col min="14344" max="14344" width="7.76953125" customWidth="1"/>
    <col min="14346" max="14346" width="7.2265625" customWidth="1"/>
    <col min="14348" max="14348" width="1.76953125" customWidth="1"/>
    <col min="14593" max="14593" width="2.31640625" customWidth="1"/>
    <col min="14594" max="14594" width="6.953125" customWidth="1"/>
    <col min="14595" max="14595" width="10.90625" customWidth="1"/>
    <col min="14598" max="14598" width="6.6796875" customWidth="1"/>
    <col min="14599" max="14599" width="14.86328125" customWidth="1"/>
    <col min="14600" max="14600" width="7.76953125" customWidth="1"/>
    <col min="14602" max="14602" width="7.2265625" customWidth="1"/>
    <col min="14604" max="14604" width="1.76953125" customWidth="1"/>
    <col min="14849" max="14849" width="2.31640625" customWidth="1"/>
    <col min="14850" max="14850" width="6.953125" customWidth="1"/>
    <col min="14851" max="14851" width="10.90625" customWidth="1"/>
    <col min="14854" max="14854" width="6.6796875" customWidth="1"/>
    <col min="14855" max="14855" width="14.86328125" customWidth="1"/>
    <col min="14856" max="14856" width="7.76953125" customWidth="1"/>
    <col min="14858" max="14858" width="7.2265625" customWidth="1"/>
    <col min="14860" max="14860" width="1.76953125" customWidth="1"/>
    <col min="15105" max="15105" width="2.31640625" customWidth="1"/>
    <col min="15106" max="15106" width="6.953125" customWidth="1"/>
    <col min="15107" max="15107" width="10.90625" customWidth="1"/>
    <col min="15110" max="15110" width="6.6796875" customWidth="1"/>
    <col min="15111" max="15111" width="14.86328125" customWidth="1"/>
    <col min="15112" max="15112" width="7.76953125" customWidth="1"/>
    <col min="15114" max="15114" width="7.2265625" customWidth="1"/>
    <col min="15116" max="15116" width="1.76953125" customWidth="1"/>
    <col min="15361" max="15361" width="2.31640625" customWidth="1"/>
    <col min="15362" max="15362" width="6.953125" customWidth="1"/>
    <col min="15363" max="15363" width="10.90625" customWidth="1"/>
    <col min="15366" max="15366" width="6.6796875" customWidth="1"/>
    <col min="15367" max="15367" width="14.86328125" customWidth="1"/>
    <col min="15368" max="15368" width="7.76953125" customWidth="1"/>
    <col min="15370" max="15370" width="7.2265625" customWidth="1"/>
    <col min="15372" max="15372" width="1.76953125" customWidth="1"/>
    <col min="15617" max="15617" width="2.31640625" customWidth="1"/>
    <col min="15618" max="15618" width="6.953125" customWidth="1"/>
    <col min="15619" max="15619" width="10.90625" customWidth="1"/>
    <col min="15622" max="15622" width="6.6796875" customWidth="1"/>
    <col min="15623" max="15623" width="14.86328125" customWidth="1"/>
    <col min="15624" max="15624" width="7.76953125" customWidth="1"/>
    <col min="15626" max="15626" width="7.2265625" customWidth="1"/>
    <col min="15628" max="15628" width="1.76953125" customWidth="1"/>
    <col min="15873" max="15873" width="2.31640625" customWidth="1"/>
    <col min="15874" max="15874" width="6.953125" customWidth="1"/>
    <col min="15875" max="15875" width="10.90625" customWidth="1"/>
    <col min="15878" max="15878" width="6.6796875" customWidth="1"/>
    <col min="15879" max="15879" width="14.86328125" customWidth="1"/>
    <col min="15880" max="15880" width="7.76953125" customWidth="1"/>
    <col min="15882" max="15882" width="7.2265625" customWidth="1"/>
    <col min="15884" max="15884" width="1.76953125" customWidth="1"/>
    <col min="16129" max="16129" width="2.31640625" customWidth="1"/>
    <col min="16130" max="16130" width="6.953125" customWidth="1"/>
    <col min="16131" max="16131" width="10.90625" customWidth="1"/>
    <col min="16134" max="16134" width="6.6796875" customWidth="1"/>
    <col min="16135" max="16135" width="14.86328125" customWidth="1"/>
    <col min="16136" max="16136" width="7.76953125" customWidth="1"/>
    <col min="16138" max="16138" width="7.2265625" customWidth="1"/>
    <col min="16140" max="16140" width="1.76953125" customWidth="1"/>
  </cols>
  <sheetData>
    <row r="1" ht="13.5" customHeight="1" spans="1:12" x14ac:dyDescent="0.25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1"/>
    </row>
    <row r="2" ht="13.5" customHeight="1" spans="1:12" x14ac:dyDescent="0.25">
      <c r="A2" s="1"/>
      <c r="B2" s="1"/>
      <c r="C2" s="1"/>
      <c r="D2" s="1"/>
      <c r="E2" s="2"/>
      <c r="F2" s="2"/>
      <c r="G2" s="2"/>
      <c r="H2" s="1"/>
      <c r="I2" s="1"/>
      <c r="J2" s="1"/>
      <c r="K2" s="1"/>
      <c r="L2" s="1"/>
    </row>
    <row r="3" ht="13.5" customHeight="1" spans="1:12" x14ac:dyDescent="0.25">
      <c r="A3" s="1"/>
      <c r="B3" s="1"/>
      <c r="C3" s="1"/>
      <c r="D3" s="3" t="s">
        <v>95</v>
      </c>
      <c r="E3" s="3"/>
      <c r="F3" s="3"/>
      <c r="G3" s="3"/>
      <c r="H3" s="3"/>
      <c r="I3" s="3"/>
      <c r="J3" s="1"/>
      <c r="K3" s="1"/>
      <c r="L3" s="1"/>
    </row>
    <row r="4" ht="13.5" customHeight="1" spans="1:12" x14ac:dyDescent="0.25">
      <c r="A4" s="1"/>
      <c r="B4" s="1"/>
      <c r="C4" s="1"/>
      <c r="D4" s="3"/>
      <c r="E4" s="3"/>
      <c r="F4" s="3"/>
      <c r="G4" s="3"/>
      <c r="H4" s="3"/>
      <c r="I4" s="3"/>
      <c r="J4" s="1"/>
      <c r="K4" s="1"/>
      <c r="L4" s="1"/>
    </row>
    <row r="5" ht="13.5" customHeight="1" spans="1:12" x14ac:dyDescent="0.25">
      <c r="A5" s="1"/>
      <c r="B5" s="1"/>
      <c r="C5" s="1"/>
      <c r="D5" s="3"/>
      <c r="E5" s="3"/>
      <c r="F5" s="3"/>
      <c r="G5" s="3"/>
      <c r="H5" s="3"/>
      <c r="I5" s="3"/>
      <c r="J5" s="1"/>
      <c r="K5" s="1"/>
      <c r="L5" s="1"/>
    </row>
    <row r="6" ht="13.5" customHeight="1" spans="1:12" x14ac:dyDescent="0.25">
      <c r="A6" s="1"/>
      <c r="B6" s="1"/>
      <c r="C6" s="1"/>
      <c r="D6" s="3"/>
      <c r="E6" s="3"/>
      <c r="F6" s="3"/>
      <c r="G6" s="3"/>
      <c r="H6" s="3"/>
      <c r="I6" s="3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ht="24" customHeight="1" spans="1:12" x14ac:dyDescent="0.25">
      <c r="A8" s="1"/>
      <c r="B8" s="1"/>
      <c r="C8" s="4" t="s">
        <v>115</v>
      </c>
      <c r="D8" s="1"/>
      <c r="E8" s="1"/>
      <c r="F8" s="1"/>
      <c r="G8" s="1"/>
      <c r="H8" s="1"/>
      <c r="I8" s="1"/>
      <c r="J8" s="1"/>
      <c r="K8" s="1"/>
      <c r="L8" s="1"/>
    </row>
    <row r="9" ht="15.75" customHeight="1" spans="1:12" x14ac:dyDescent="0.25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ht="24" customHeight="1" spans="1:12" x14ac:dyDescent="0.25">
      <c r="A10" s="1"/>
      <c r="B10" s="1"/>
      <c r="C10" s="4"/>
      <c r="D10" s="1"/>
      <c r="E10" s="1"/>
      <c r="F10" s="5" t="s">
        <v>97</v>
      </c>
      <c r="G10" s="5"/>
      <c r="H10" s="103">
        <v>0.6666666666678793</v>
      </c>
      <c r="I10" s="12"/>
      <c r="J10" s="12"/>
      <c r="K10" s="1"/>
      <c r="L10" s="1"/>
    </row>
    <row r="11" ht="24" customHeight="1" spans="1:12" x14ac:dyDescent="0.25">
      <c r="A11" s="1"/>
      <c r="B11" s="1"/>
      <c r="C11" s="4"/>
      <c r="D11" s="1"/>
      <c r="E11" s="1"/>
      <c r="F11" s="104" t="s">
        <v>98</v>
      </c>
      <c r="G11" s="105"/>
      <c r="H11" s="106">
        <v>0.75</v>
      </c>
      <c r="I11" s="105"/>
      <c r="J11" s="105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3.5" customHeight="1" spans="1:12" x14ac:dyDescent="0.25">
      <c r="A14" s="1"/>
      <c r="B14" s="1"/>
      <c r="C14" s="4"/>
      <c r="D14" s="8" t="s">
        <v>99</v>
      </c>
      <c r="E14" s="8"/>
      <c r="F14" s="8"/>
      <c r="G14" s="8"/>
      <c r="H14" s="8"/>
      <c r="I14" s="107">
        <v>51</v>
      </c>
      <c r="J14" s="107"/>
      <c r="K14" s="1"/>
      <c r="L14" s="1"/>
    </row>
    <row r="15" ht="13.5" customHeight="1" spans="1:12" x14ac:dyDescent="0.25">
      <c r="A15" s="1"/>
      <c r="B15" s="1"/>
      <c r="C15" s="4"/>
      <c r="D15" s="108"/>
      <c r="E15" s="108"/>
      <c r="F15" s="108"/>
      <c r="G15" s="108"/>
      <c r="H15" s="108"/>
      <c r="I15" s="16"/>
      <c r="J15" s="16"/>
      <c r="K15" s="1"/>
      <c r="L15" s="1"/>
    </row>
    <row r="16" ht="13.5" customHeight="1" spans="1:12" x14ac:dyDescent="0.25">
      <c r="A16" s="1"/>
      <c r="B16" s="1"/>
      <c r="C16" s="4"/>
      <c r="D16" s="8" t="s">
        <v>116</v>
      </c>
      <c r="E16" s="8"/>
      <c r="F16" s="8"/>
      <c r="G16" s="8"/>
      <c r="H16" s="8"/>
      <c r="I16" s="109">
        <v>1</v>
      </c>
      <c r="J16" s="109"/>
      <c r="K16" s="1"/>
      <c r="L16" s="1"/>
    </row>
    <row r="17" ht="13.5" customHeight="1" spans="1:12" x14ac:dyDescent="0.25">
      <c r="A17" s="1"/>
      <c r="B17" s="1"/>
      <c r="C17" s="4"/>
      <c r="D17" s="108"/>
      <c r="E17" s="108"/>
      <c r="F17" s="108"/>
      <c r="G17" s="108"/>
      <c r="H17" s="108"/>
      <c r="I17" s="16"/>
      <c r="J17" s="16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24" customHeight="1" spans="1:12" x14ac:dyDescent="0.25">
      <c r="A20" s="1"/>
      <c r="B20" s="1"/>
      <c r="C20" s="110" t="s">
        <v>101</v>
      </c>
      <c r="D20" s="111"/>
      <c r="E20" s="111"/>
      <c r="F20" s="112"/>
      <c r="G20" s="113" t="s">
        <v>102</v>
      </c>
      <c r="H20" s="110" t="s">
        <v>117</v>
      </c>
      <c r="I20" s="111"/>
      <c r="J20" s="112"/>
      <c r="K20" s="1"/>
      <c r="L20" s="1"/>
    </row>
    <row r="21" ht="24" customHeight="1" spans="1:12" x14ac:dyDescent="0.25">
      <c r="A21" s="1"/>
      <c r="B21" s="1"/>
      <c r="C21" s="114" t="s">
        <v>104</v>
      </c>
      <c r="D21" s="115"/>
      <c r="E21" s="115"/>
      <c r="F21" s="115"/>
      <c r="G21" s="6">
        <v>2</v>
      </c>
      <c r="H21" s="17">
        <v>61606</v>
      </c>
      <c r="I21" s="18"/>
      <c r="J21" s="19"/>
      <c r="K21" s="1"/>
      <c r="L21" s="1"/>
    </row>
    <row r="22" ht="24" customHeight="1" spans="1:12" x14ac:dyDescent="0.25">
      <c r="A22" s="1"/>
      <c r="B22" s="1"/>
      <c r="C22" s="114" t="s">
        <v>105</v>
      </c>
      <c r="D22" s="115"/>
      <c r="E22" s="115"/>
      <c r="F22" s="115"/>
      <c r="G22" s="6">
        <v>2</v>
      </c>
      <c r="H22" s="17">
        <f>野菜!N37+野菜!N74+野菜!N111</f>
        <v>322625</v>
      </c>
      <c r="I22" s="18"/>
      <c r="J22" s="19"/>
      <c r="K22" s="1"/>
      <c r="L22" s="1"/>
    </row>
    <row r="23" ht="24" customHeight="1" spans="1:12" x14ac:dyDescent="0.25">
      <c r="A23" s="1"/>
      <c r="B23" s="1"/>
      <c r="C23" s="114" t="s">
        <v>106</v>
      </c>
      <c r="D23" s="115"/>
      <c r="E23" s="115"/>
      <c r="F23" s="115"/>
      <c r="G23" s="20"/>
      <c r="H23" s="17"/>
      <c r="I23" s="18"/>
      <c r="J23" s="19"/>
      <c r="K23" s="1"/>
      <c r="L23" s="1"/>
    </row>
    <row r="24" ht="24" customHeight="1" spans="1:12" x14ac:dyDescent="0.25">
      <c r="A24" s="1"/>
      <c r="B24" s="1"/>
      <c r="C24" s="114" t="s">
        <v>107</v>
      </c>
      <c r="D24" s="115"/>
      <c r="E24" s="115"/>
      <c r="F24" s="115"/>
      <c r="G24" s="20"/>
      <c r="H24" s="17"/>
      <c r="I24" s="18"/>
      <c r="J24" s="19"/>
      <c r="K24" s="1"/>
      <c r="L24" s="1"/>
    </row>
    <row r="25" ht="24" customHeight="1" spans="1:12" x14ac:dyDescent="0.25">
      <c r="A25" s="1"/>
      <c r="B25" s="1"/>
      <c r="C25" s="116" t="s">
        <v>108</v>
      </c>
      <c r="D25" s="117"/>
      <c r="E25" s="117"/>
      <c r="F25" s="118"/>
      <c r="G25" s="14">
        <f>SUM(G21:G24)</f>
        <v>4</v>
      </c>
      <c r="H25" s="17">
        <f>SUM(H21:J24)</f>
        <v>384231</v>
      </c>
      <c r="I25" s="18"/>
      <c r="J25" s="19"/>
      <c r="K25" s="1"/>
      <c r="L25" s="1"/>
    </row>
    <row r="26" ht="24" customHeight="1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6" t="s">
        <v>5</v>
      </c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7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7"/>
      <c r="L30" s="1"/>
    </row>
    <row r="31" ht="13.5" customHeight="1" spans="1:12" x14ac:dyDescent="0.25">
      <c r="A31" s="1"/>
      <c r="B31" s="1"/>
      <c r="C31" s="1"/>
      <c r="D31" s="1"/>
      <c r="E31" s="8" t="s">
        <v>118</v>
      </c>
      <c r="F31" s="8"/>
      <c r="G31" s="8"/>
      <c r="H31" s="8"/>
      <c r="I31" s="8"/>
      <c r="J31" s="1"/>
      <c r="K31" s="7"/>
      <c r="L31" s="1"/>
    </row>
    <row r="32" ht="13.5" customHeight="1" spans="1:12" x14ac:dyDescent="0.25">
      <c r="A32" s="1"/>
      <c r="B32" s="1"/>
      <c r="C32" s="1"/>
      <c r="D32" s="1"/>
      <c r="E32" s="108"/>
      <c r="F32" s="108"/>
      <c r="G32" s="108"/>
      <c r="H32" s="108"/>
      <c r="I32" s="108"/>
      <c r="J32" s="1"/>
      <c r="K32" s="9"/>
      <c r="L32" s="1"/>
    </row>
    <row r="33" spans="1:12" x14ac:dyDescent="0.25">
      <c r="A33" s="1"/>
      <c r="B33" s="1"/>
      <c r="C33" s="1"/>
      <c r="D33" s="1"/>
      <c r="E33" s="10"/>
      <c r="F33" s="10"/>
      <c r="G33" s="10"/>
      <c r="H33" s="10"/>
      <c r="I33" s="10"/>
      <c r="J33" s="1"/>
      <c r="K33" s="1"/>
      <c r="L33" s="1"/>
    </row>
    <row r="35" ht="18.75" customHeight="1" spans="3:3" x14ac:dyDescent="0.25">
      <c r="C35" s="99" t="s">
        <v>110</v>
      </c>
    </row>
    <row r="36" ht="24" customHeight="1" spans="3:10" x14ac:dyDescent="0.25">
      <c r="C36" s="100" t="s">
        <v>111</v>
      </c>
      <c r="D36" s="78" t="s">
        <v>112</v>
      </c>
      <c r="E36" s="79"/>
      <c r="F36" s="80"/>
      <c r="G36" s="78" t="s">
        <v>113</v>
      </c>
      <c r="H36" s="80"/>
      <c r="I36" s="78" t="s">
        <v>114</v>
      </c>
      <c r="J36" s="80"/>
    </row>
    <row r="37" ht="24" customHeight="1" spans="3:10" x14ac:dyDescent="0.25">
      <c r="C37" s="91"/>
      <c r="D37" s="101"/>
      <c r="E37" s="71"/>
      <c r="F37" s="102"/>
      <c r="G37" s="101"/>
      <c r="H37" s="102"/>
      <c r="I37" s="101"/>
      <c r="J37" s="102"/>
    </row>
    <row r="38" ht="24" customHeight="1" spans="3:10" x14ac:dyDescent="0.25">
      <c r="C38" s="91"/>
      <c r="D38" s="101"/>
      <c r="E38" s="71"/>
      <c r="F38" s="102"/>
      <c r="G38" s="101"/>
      <c r="H38" s="102"/>
      <c r="I38" s="101"/>
      <c r="J38" s="102"/>
    </row>
    <row r="39" ht="24" customHeight="1" spans="3:10" x14ac:dyDescent="0.25">
      <c r="C39" s="91"/>
      <c r="D39" s="101"/>
      <c r="E39" s="71"/>
      <c r="F39" s="102"/>
      <c r="G39" s="101"/>
      <c r="H39" s="102"/>
      <c r="I39" s="101"/>
      <c r="J39" s="102"/>
    </row>
    <row r="40" ht="24" customHeight="1" spans="3:10" x14ac:dyDescent="0.25">
      <c r="C40" s="91"/>
      <c r="D40" s="101"/>
      <c r="E40" s="71"/>
      <c r="F40" s="102"/>
      <c r="G40" s="101"/>
      <c r="H40" s="102"/>
      <c r="I40" s="101"/>
      <c r="J40" s="102"/>
    </row>
    <row r="41" ht="24" customHeight="1" spans="3:10" x14ac:dyDescent="0.25">
      <c r="C41" s="91"/>
      <c r="D41" s="101"/>
      <c r="E41" s="71"/>
      <c r="F41" s="102"/>
      <c r="G41" s="101"/>
      <c r="H41" s="102"/>
      <c r="I41" s="101"/>
      <c r="J41" s="102"/>
    </row>
    <row r="42" ht="24" customHeight="1" spans="3:10" x14ac:dyDescent="0.25">
      <c r="C42" s="91"/>
      <c r="D42" s="101"/>
      <c r="E42" s="71"/>
      <c r="F42" s="102"/>
      <c r="G42" s="101"/>
      <c r="H42" s="102"/>
      <c r="I42" s="101"/>
      <c r="J42" s="102"/>
    </row>
    <row r="43" ht="24" customHeight="1" spans="3:10" x14ac:dyDescent="0.25">
      <c r="C43" s="91"/>
      <c r="D43" s="101"/>
      <c r="E43" s="71"/>
      <c r="F43" s="102"/>
      <c r="G43" s="101"/>
      <c r="H43" s="102"/>
      <c r="I43" s="101"/>
      <c r="J43" s="102"/>
    </row>
    <row r="44" ht="24" customHeight="1" spans="3:10" x14ac:dyDescent="0.25">
      <c r="C44" s="91"/>
      <c r="D44" s="101"/>
      <c r="E44" s="71"/>
      <c r="F44" s="102"/>
      <c r="G44" s="101"/>
      <c r="H44" s="102"/>
      <c r="I44" s="101"/>
      <c r="J44" s="102"/>
    </row>
  </sheetData>
  <mergeCells count="41">
    <mergeCell ref="D3:I5"/>
    <mergeCell ref="D14:H15"/>
    <mergeCell ref="I14:J15"/>
    <mergeCell ref="D16:H17"/>
    <mergeCell ref="I16:J17"/>
    <mergeCell ref="C20:F20"/>
    <mergeCell ref="H20:J20"/>
    <mergeCell ref="H21:J21"/>
    <mergeCell ref="H22:J22"/>
    <mergeCell ref="H23:J23"/>
    <mergeCell ref="H24:J24"/>
    <mergeCell ref="C25:F25"/>
    <mergeCell ref="H25:J25"/>
    <mergeCell ref="E31:I32"/>
    <mergeCell ref="D36:F36"/>
    <mergeCell ref="G36:H36"/>
    <mergeCell ref="I36:J36"/>
    <mergeCell ref="D37:F37"/>
    <mergeCell ref="G37:H37"/>
    <mergeCell ref="I37:J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3:F43"/>
    <mergeCell ref="G43:H43"/>
    <mergeCell ref="I43:J43"/>
    <mergeCell ref="D44:F44"/>
    <mergeCell ref="G44:H44"/>
    <mergeCell ref="I44:J44"/>
  </mergeCells>
  <pageMargins left="0.7" right="0.7" top="0.75" bottom="0.75" header="0.3" footer="0.3"/>
  <pageSetup paperSize="9" orientation="portrait" horizontalDpi="4294967295" verticalDpi="4294967295" scale="96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workbookViewId="0" zoomScale="60" zoomScaleNormal="100" view="pageBreakPreview">
      <selection activeCell="M24" sqref="M24"/>
    </sheetView>
  </sheetViews>
  <sheetFormatPr defaultRowHeight="13.5" outlineLevelRow="0" outlineLevelCol="0" x14ac:dyDescent="0.1" customHeight="1"/>
  <cols>
    <col min="1" max="1" width="2.31640625" style="62" customWidth="1"/>
    <col min="2" max="2" width="6.953125" style="62" customWidth="1"/>
    <col min="3" max="3" width="10.90625" style="62" customWidth="1"/>
    <col min="4" max="5" width="8.99609375" style="62" customWidth="1"/>
    <col min="6" max="6" width="6.6796875" style="62" customWidth="1"/>
    <col min="7" max="7" width="14.86328125" style="62" customWidth="1"/>
    <col min="8" max="9" width="8.99609375" style="62" customWidth="1"/>
    <col min="10" max="10" width="6.953125" style="62" customWidth="1"/>
    <col min="11" max="11" width="8.99609375" style="62" customWidth="1"/>
    <col min="12" max="12" width="1.76953125" style="62" customWidth="1"/>
    <col min="13" max="256" width="8.99609375" style="62" customWidth="1"/>
    <col min="257" max="257" width="2.31640625" style="62" customWidth="1"/>
    <col min="258" max="258" width="6.953125" style="62" customWidth="1"/>
    <col min="259" max="259" width="10.90625" style="62" customWidth="1"/>
    <col min="260" max="261" width="8.99609375" style="62" customWidth="1"/>
    <col min="262" max="262" width="6.6796875" style="62" customWidth="1"/>
    <col min="263" max="263" width="14.86328125" style="62" customWidth="1"/>
    <col min="264" max="265" width="8.99609375" style="62" customWidth="1"/>
    <col min="266" max="266" width="6.953125" style="62" customWidth="1"/>
    <col min="267" max="267" width="8.99609375" style="62" customWidth="1"/>
    <col min="268" max="268" width="1.76953125" style="62" customWidth="1"/>
    <col min="269" max="512" width="8.99609375" style="62" customWidth="1"/>
    <col min="513" max="513" width="2.31640625" style="62" customWidth="1"/>
    <col min="514" max="514" width="6.953125" style="62" customWidth="1"/>
    <col min="515" max="515" width="10.90625" style="62" customWidth="1"/>
    <col min="516" max="517" width="8.99609375" style="62" customWidth="1"/>
    <col min="518" max="518" width="6.6796875" style="62" customWidth="1"/>
    <col min="519" max="519" width="14.86328125" style="62" customWidth="1"/>
    <col min="520" max="521" width="8.99609375" style="62" customWidth="1"/>
    <col min="522" max="522" width="6.953125" style="62" customWidth="1"/>
    <col min="523" max="523" width="8.99609375" style="62" customWidth="1"/>
    <col min="524" max="524" width="1.76953125" style="62" customWidth="1"/>
    <col min="525" max="768" width="8.99609375" style="62" customWidth="1"/>
    <col min="769" max="769" width="2.31640625" style="62" customWidth="1"/>
    <col min="770" max="770" width="6.953125" style="62" customWidth="1"/>
    <col min="771" max="771" width="10.90625" style="62" customWidth="1"/>
    <col min="772" max="773" width="8.99609375" style="62" customWidth="1"/>
    <col min="774" max="774" width="6.6796875" style="62" customWidth="1"/>
    <col min="775" max="775" width="14.86328125" style="62" customWidth="1"/>
    <col min="776" max="777" width="8.99609375" style="62" customWidth="1"/>
    <col min="778" max="778" width="6.953125" style="62" customWidth="1"/>
    <col min="779" max="779" width="8.99609375" style="62" customWidth="1"/>
    <col min="780" max="780" width="1.76953125" style="62" customWidth="1"/>
    <col min="781" max="1024" width="8.99609375" style="62" customWidth="1"/>
    <col min="1025" max="1025" width="2.31640625" style="62" customWidth="1"/>
    <col min="1026" max="1026" width="6.953125" style="62" customWidth="1"/>
    <col min="1027" max="1027" width="10.90625" style="62" customWidth="1"/>
    <col min="1028" max="1029" width="8.99609375" style="62" customWidth="1"/>
    <col min="1030" max="1030" width="6.6796875" style="62" customWidth="1"/>
    <col min="1031" max="1031" width="14.86328125" style="62" customWidth="1"/>
    <col min="1032" max="1033" width="8.99609375" style="62" customWidth="1"/>
    <col min="1034" max="1034" width="6.953125" style="62" customWidth="1"/>
    <col min="1035" max="1035" width="8.99609375" style="62" customWidth="1"/>
    <col min="1036" max="1036" width="1.76953125" style="62" customWidth="1"/>
    <col min="1037" max="1280" width="8.99609375" style="62" customWidth="1"/>
    <col min="1281" max="1281" width="2.31640625" style="62" customWidth="1"/>
    <col min="1282" max="1282" width="6.953125" style="62" customWidth="1"/>
    <col min="1283" max="1283" width="10.90625" style="62" customWidth="1"/>
    <col min="1284" max="1285" width="8.99609375" style="62" customWidth="1"/>
    <col min="1286" max="1286" width="6.6796875" style="62" customWidth="1"/>
    <col min="1287" max="1287" width="14.86328125" style="62" customWidth="1"/>
    <col min="1288" max="1289" width="8.99609375" style="62" customWidth="1"/>
    <col min="1290" max="1290" width="6.953125" style="62" customWidth="1"/>
    <col min="1291" max="1291" width="8.99609375" style="62" customWidth="1"/>
    <col min="1292" max="1292" width="1.76953125" style="62" customWidth="1"/>
    <col min="1293" max="1536" width="8.99609375" style="62" customWidth="1"/>
    <col min="1537" max="1537" width="2.31640625" style="62" customWidth="1"/>
    <col min="1538" max="1538" width="6.953125" style="62" customWidth="1"/>
    <col min="1539" max="1539" width="10.90625" style="62" customWidth="1"/>
    <col min="1540" max="1541" width="8.99609375" style="62" customWidth="1"/>
    <col min="1542" max="1542" width="6.6796875" style="62" customWidth="1"/>
    <col min="1543" max="1543" width="14.86328125" style="62" customWidth="1"/>
    <col min="1544" max="1545" width="8.99609375" style="62" customWidth="1"/>
    <col min="1546" max="1546" width="6.953125" style="62" customWidth="1"/>
    <col min="1547" max="1547" width="8.99609375" style="62" customWidth="1"/>
    <col min="1548" max="1548" width="1.76953125" style="62" customWidth="1"/>
    <col min="1549" max="1792" width="8.99609375" style="62" customWidth="1"/>
    <col min="1793" max="1793" width="2.31640625" style="62" customWidth="1"/>
    <col min="1794" max="1794" width="6.953125" style="62" customWidth="1"/>
    <col min="1795" max="1795" width="10.90625" style="62" customWidth="1"/>
    <col min="1796" max="1797" width="8.99609375" style="62" customWidth="1"/>
    <col min="1798" max="1798" width="6.6796875" style="62" customWidth="1"/>
    <col min="1799" max="1799" width="14.86328125" style="62" customWidth="1"/>
    <col min="1800" max="1801" width="8.99609375" style="62" customWidth="1"/>
    <col min="1802" max="1802" width="6.953125" style="62" customWidth="1"/>
    <col min="1803" max="1803" width="8.99609375" style="62" customWidth="1"/>
    <col min="1804" max="1804" width="1.76953125" style="62" customWidth="1"/>
    <col min="1805" max="2048" width="8.99609375" style="62" customWidth="1"/>
    <col min="2049" max="2049" width="2.31640625" style="62" customWidth="1"/>
    <col min="2050" max="2050" width="6.953125" style="62" customWidth="1"/>
    <col min="2051" max="2051" width="10.90625" style="62" customWidth="1"/>
    <col min="2052" max="2053" width="8.99609375" style="62" customWidth="1"/>
    <col min="2054" max="2054" width="6.6796875" style="62" customWidth="1"/>
    <col min="2055" max="2055" width="14.86328125" style="62" customWidth="1"/>
    <col min="2056" max="2057" width="8.99609375" style="62" customWidth="1"/>
    <col min="2058" max="2058" width="6.953125" style="62" customWidth="1"/>
    <col min="2059" max="2059" width="8.99609375" style="62" customWidth="1"/>
    <col min="2060" max="2060" width="1.76953125" style="62" customWidth="1"/>
    <col min="2061" max="2304" width="8.99609375" style="62" customWidth="1"/>
    <col min="2305" max="2305" width="2.31640625" style="62" customWidth="1"/>
    <col min="2306" max="2306" width="6.953125" style="62" customWidth="1"/>
    <col min="2307" max="2307" width="10.90625" style="62" customWidth="1"/>
    <col min="2308" max="2309" width="8.99609375" style="62" customWidth="1"/>
    <col min="2310" max="2310" width="6.6796875" style="62" customWidth="1"/>
    <col min="2311" max="2311" width="14.86328125" style="62" customWidth="1"/>
    <col min="2312" max="2313" width="8.99609375" style="62" customWidth="1"/>
    <col min="2314" max="2314" width="6.953125" style="62" customWidth="1"/>
    <col min="2315" max="2315" width="8.99609375" style="62" customWidth="1"/>
    <col min="2316" max="2316" width="1.76953125" style="62" customWidth="1"/>
    <col min="2317" max="2560" width="8.99609375" style="62" customWidth="1"/>
    <col min="2561" max="2561" width="2.31640625" style="62" customWidth="1"/>
    <col min="2562" max="2562" width="6.953125" style="62" customWidth="1"/>
    <col min="2563" max="2563" width="10.90625" style="62" customWidth="1"/>
    <col min="2564" max="2565" width="8.99609375" style="62" customWidth="1"/>
    <col min="2566" max="2566" width="6.6796875" style="62" customWidth="1"/>
    <col min="2567" max="2567" width="14.86328125" style="62" customWidth="1"/>
    <col min="2568" max="2569" width="8.99609375" style="62" customWidth="1"/>
    <col min="2570" max="2570" width="6.953125" style="62" customWidth="1"/>
    <col min="2571" max="2571" width="8.99609375" style="62" customWidth="1"/>
    <col min="2572" max="2572" width="1.76953125" style="62" customWidth="1"/>
    <col min="2573" max="2816" width="8.99609375" style="62" customWidth="1"/>
    <col min="2817" max="2817" width="2.31640625" style="62" customWidth="1"/>
    <col min="2818" max="2818" width="6.953125" style="62" customWidth="1"/>
    <col min="2819" max="2819" width="10.90625" style="62" customWidth="1"/>
    <col min="2820" max="2821" width="8.99609375" style="62" customWidth="1"/>
    <col min="2822" max="2822" width="6.6796875" style="62" customWidth="1"/>
    <col min="2823" max="2823" width="14.86328125" style="62" customWidth="1"/>
    <col min="2824" max="2825" width="8.99609375" style="62" customWidth="1"/>
    <col min="2826" max="2826" width="6.953125" style="62" customWidth="1"/>
    <col min="2827" max="2827" width="8.99609375" style="62" customWidth="1"/>
    <col min="2828" max="2828" width="1.76953125" style="62" customWidth="1"/>
    <col min="2829" max="3072" width="8.99609375" style="62" customWidth="1"/>
    <col min="3073" max="3073" width="2.31640625" style="62" customWidth="1"/>
    <col min="3074" max="3074" width="6.953125" style="62" customWidth="1"/>
    <col min="3075" max="3075" width="10.90625" style="62" customWidth="1"/>
    <col min="3076" max="3077" width="8.99609375" style="62" customWidth="1"/>
    <col min="3078" max="3078" width="6.6796875" style="62" customWidth="1"/>
    <col min="3079" max="3079" width="14.86328125" style="62" customWidth="1"/>
    <col min="3080" max="3081" width="8.99609375" style="62" customWidth="1"/>
    <col min="3082" max="3082" width="6.953125" style="62" customWidth="1"/>
    <col min="3083" max="3083" width="8.99609375" style="62" customWidth="1"/>
    <col min="3084" max="3084" width="1.76953125" style="62" customWidth="1"/>
    <col min="3085" max="3328" width="8.99609375" style="62" customWidth="1"/>
    <col min="3329" max="3329" width="2.31640625" style="62" customWidth="1"/>
    <col min="3330" max="3330" width="6.953125" style="62" customWidth="1"/>
    <col min="3331" max="3331" width="10.90625" style="62" customWidth="1"/>
    <col min="3332" max="3333" width="8.99609375" style="62" customWidth="1"/>
    <col min="3334" max="3334" width="6.6796875" style="62" customWidth="1"/>
    <col min="3335" max="3335" width="14.86328125" style="62" customWidth="1"/>
    <col min="3336" max="3337" width="8.99609375" style="62" customWidth="1"/>
    <col min="3338" max="3338" width="6.953125" style="62" customWidth="1"/>
    <col min="3339" max="3339" width="8.99609375" style="62" customWidth="1"/>
    <col min="3340" max="3340" width="1.76953125" style="62" customWidth="1"/>
    <col min="3341" max="3584" width="8.99609375" style="62" customWidth="1"/>
    <col min="3585" max="3585" width="2.31640625" style="62" customWidth="1"/>
    <col min="3586" max="3586" width="6.953125" style="62" customWidth="1"/>
    <col min="3587" max="3587" width="10.90625" style="62" customWidth="1"/>
    <col min="3588" max="3589" width="8.99609375" style="62" customWidth="1"/>
    <col min="3590" max="3590" width="6.6796875" style="62" customWidth="1"/>
    <col min="3591" max="3591" width="14.86328125" style="62" customWidth="1"/>
    <col min="3592" max="3593" width="8.99609375" style="62" customWidth="1"/>
    <col min="3594" max="3594" width="6.953125" style="62" customWidth="1"/>
    <col min="3595" max="3595" width="8.99609375" style="62" customWidth="1"/>
    <col min="3596" max="3596" width="1.76953125" style="62" customWidth="1"/>
    <col min="3597" max="3840" width="8.99609375" style="62" customWidth="1"/>
    <col min="3841" max="3841" width="2.31640625" style="62" customWidth="1"/>
    <col min="3842" max="3842" width="6.953125" style="62" customWidth="1"/>
    <col min="3843" max="3843" width="10.90625" style="62" customWidth="1"/>
    <col min="3844" max="3845" width="8.99609375" style="62" customWidth="1"/>
    <col min="3846" max="3846" width="6.6796875" style="62" customWidth="1"/>
    <col min="3847" max="3847" width="14.86328125" style="62" customWidth="1"/>
    <col min="3848" max="3849" width="8.99609375" style="62" customWidth="1"/>
    <col min="3850" max="3850" width="6.953125" style="62" customWidth="1"/>
    <col min="3851" max="3851" width="8.99609375" style="62" customWidth="1"/>
    <col min="3852" max="3852" width="1.76953125" style="62" customWidth="1"/>
    <col min="3853" max="4096" width="8.99609375" style="62" customWidth="1"/>
    <col min="4097" max="4097" width="2.31640625" style="62" customWidth="1"/>
    <col min="4098" max="4098" width="6.953125" style="62" customWidth="1"/>
    <col min="4099" max="4099" width="10.90625" style="62" customWidth="1"/>
    <col min="4100" max="4101" width="8.99609375" style="62" customWidth="1"/>
    <col min="4102" max="4102" width="6.6796875" style="62" customWidth="1"/>
    <col min="4103" max="4103" width="14.86328125" style="62" customWidth="1"/>
    <col min="4104" max="4105" width="8.99609375" style="62" customWidth="1"/>
    <col min="4106" max="4106" width="6.953125" style="62" customWidth="1"/>
    <col min="4107" max="4107" width="8.99609375" style="62" customWidth="1"/>
    <col min="4108" max="4108" width="1.76953125" style="62" customWidth="1"/>
    <col min="4109" max="4352" width="8.99609375" style="62" customWidth="1"/>
    <col min="4353" max="4353" width="2.31640625" style="62" customWidth="1"/>
    <col min="4354" max="4354" width="6.953125" style="62" customWidth="1"/>
    <col min="4355" max="4355" width="10.90625" style="62" customWidth="1"/>
    <col min="4356" max="4357" width="8.99609375" style="62" customWidth="1"/>
    <col min="4358" max="4358" width="6.6796875" style="62" customWidth="1"/>
    <col min="4359" max="4359" width="14.86328125" style="62" customWidth="1"/>
    <col min="4360" max="4361" width="8.99609375" style="62" customWidth="1"/>
    <col min="4362" max="4362" width="6.953125" style="62" customWidth="1"/>
    <col min="4363" max="4363" width="8.99609375" style="62" customWidth="1"/>
    <col min="4364" max="4364" width="1.76953125" style="62" customWidth="1"/>
    <col min="4365" max="4608" width="8.99609375" style="62" customWidth="1"/>
    <col min="4609" max="4609" width="2.31640625" style="62" customWidth="1"/>
    <col min="4610" max="4610" width="6.953125" style="62" customWidth="1"/>
    <col min="4611" max="4611" width="10.90625" style="62" customWidth="1"/>
    <col min="4612" max="4613" width="8.99609375" style="62" customWidth="1"/>
    <col min="4614" max="4614" width="6.6796875" style="62" customWidth="1"/>
    <col min="4615" max="4615" width="14.86328125" style="62" customWidth="1"/>
    <col min="4616" max="4617" width="8.99609375" style="62" customWidth="1"/>
    <col min="4618" max="4618" width="6.953125" style="62" customWidth="1"/>
    <col min="4619" max="4619" width="8.99609375" style="62" customWidth="1"/>
    <col min="4620" max="4620" width="1.76953125" style="62" customWidth="1"/>
    <col min="4621" max="4864" width="8.99609375" style="62" customWidth="1"/>
    <col min="4865" max="4865" width="2.31640625" style="62" customWidth="1"/>
    <col min="4866" max="4866" width="6.953125" style="62" customWidth="1"/>
    <col min="4867" max="4867" width="10.90625" style="62" customWidth="1"/>
    <col min="4868" max="4869" width="8.99609375" style="62" customWidth="1"/>
    <col min="4870" max="4870" width="6.6796875" style="62" customWidth="1"/>
    <col min="4871" max="4871" width="14.86328125" style="62" customWidth="1"/>
    <col min="4872" max="4873" width="8.99609375" style="62" customWidth="1"/>
    <col min="4874" max="4874" width="6.953125" style="62" customWidth="1"/>
    <col min="4875" max="4875" width="8.99609375" style="62" customWidth="1"/>
    <col min="4876" max="4876" width="1.76953125" style="62" customWidth="1"/>
    <col min="4877" max="5120" width="8.99609375" style="62" customWidth="1"/>
    <col min="5121" max="5121" width="2.31640625" style="62" customWidth="1"/>
    <col min="5122" max="5122" width="6.953125" style="62" customWidth="1"/>
    <col min="5123" max="5123" width="10.90625" style="62" customWidth="1"/>
    <col min="5124" max="5125" width="8.99609375" style="62" customWidth="1"/>
    <col min="5126" max="5126" width="6.6796875" style="62" customWidth="1"/>
    <col min="5127" max="5127" width="14.86328125" style="62" customWidth="1"/>
    <col min="5128" max="5129" width="8.99609375" style="62" customWidth="1"/>
    <col min="5130" max="5130" width="6.953125" style="62" customWidth="1"/>
    <col min="5131" max="5131" width="8.99609375" style="62" customWidth="1"/>
    <col min="5132" max="5132" width="1.76953125" style="62" customWidth="1"/>
    <col min="5133" max="5376" width="8.99609375" style="62" customWidth="1"/>
    <col min="5377" max="5377" width="2.31640625" style="62" customWidth="1"/>
    <col min="5378" max="5378" width="6.953125" style="62" customWidth="1"/>
    <col min="5379" max="5379" width="10.90625" style="62" customWidth="1"/>
    <col min="5380" max="5381" width="8.99609375" style="62" customWidth="1"/>
    <col min="5382" max="5382" width="6.6796875" style="62" customWidth="1"/>
    <col min="5383" max="5383" width="14.86328125" style="62" customWidth="1"/>
    <col min="5384" max="5385" width="8.99609375" style="62" customWidth="1"/>
    <col min="5386" max="5386" width="6.953125" style="62" customWidth="1"/>
    <col min="5387" max="5387" width="8.99609375" style="62" customWidth="1"/>
    <col min="5388" max="5388" width="1.76953125" style="62" customWidth="1"/>
    <col min="5389" max="5632" width="8.99609375" style="62" customWidth="1"/>
    <col min="5633" max="5633" width="2.31640625" style="62" customWidth="1"/>
    <col min="5634" max="5634" width="6.953125" style="62" customWidth="1"/>
    <col min="5635" max="5635" width="10.90625" style="62" customWidth="1"/>
    <col min="5636" max="5637" width="8.99609375" style="62" customWidth="1"/>
    <col min="5638" max="5638" width="6.6796875" style="62" customWidth="1"/>
    <col min="5639" max="5639" width="14.86328125" style="62" customWidth="1"/>
    <col min="5640" max="5641" width="8.99609375" style="62" customWidth="1"/>
    <col min="5642" max="5642" width="6.953125" style="62" customWidth="1"/>
    <col min="5643" max="5643" width="8.99609375" style="62" customWidth="1"/>
    <col min="5644" max="5644" width="1.76953125" style="62" customWidth="1"/>
    <col min="5645" max="5888" width="8.99609375" style="62" customWidth="1"/>
    <col min="5889" max="5889" width="2.31640625" style="62" customWidth="1"/>
    <col min="5890" max="5890" width="6.953125" style="62" customWidth="1"/>
    <col min="5891" max="5891" width="10.90625" style="62" customWidth="1"/>
    <col min="5892" max="5893" width="8.99609375" style="62" customWidth="1"/>
    <col min="5894" max="5894" width="6.6796875" style="62" customWidth="1"/>
    <col min="5895" max="5895" width="14.86328125" style="62" customWidth="1"/>
    <col min="5896" max="5897" width="8.99609375" style="62" customWidth="1"/>
    <col min="5898" max="5898" width="6.953125" style="62" customWidth="1"/>
    <col min="5899" max="5899" width="8.99609375" style="62" customWidth="1"/>
    <col min="5900" max="5900" width="1.76953125" style="62" customWidth="1"/>
    <col min="5901" max="6144" width="8.99609375" style="62" customWidth="1"/>
    <col min="6145" max="6145" width="2.31640625" style="62" customWidth="1"/>
    <col min="6146" max="6146" width="6.953125" style="62" customWidth="1"/>
    <col min="6147" max="6147" width="10.90625" style="62" customWidth="1"/>
    <col min="6148" max="6149" width="8.99609375" style="62" customWidth="1"/>
    <col min="6150" max="6150" width="6.6796875" style="62" customWidth="1"/>
    <col min="6151" max="6151" width="14.86328125" style="62" customWidth="1"/>
    <col min="6152" max="6153" width="8.99609375" style="62" customWidth="1"/>
    <col min="6154" max="6154" width="6.953125" style="62" customWidth="1"/>
    <col min="6155" max="6155" width="8.99609375" style="62" customWidth="1"/>
    <col min="6156" max="6156" width="1.76953125" style="62" customWidth="1"/>
    <col min="6157" max="6400" width="8.99609375" style="62" customWidth="1"/>
    <col min="6401" max="6401" width="2.31640625" style="62" customWidth="1"/>
    <col min="6402" max="6402" width="6.953125" style="62" customWidth="1"/>
    <col min="6403" max="6403" width="10.90625" style="62" customWidth="1"/>
    <col min="6404" max="6405" width="8.99609375" style="62" customWidth="1"/>
    <col min="6406" max="6406" width="6.6796875" style="62" customWidth="1"/>
    <col min="6407" max="6407" width="14.86328125" style="62" customWidth="1"/>
    <col min="6408" max="6409" width="8.99609375" style="62" customWidth="1"/>
    <col min="6410" max="6410" width="6.953125" style="62" customWidth="1"/>
    <col min="6411" max="6411" width="8.99609375" style="62" customWidth="1"/>
    <col min="6412" max="6412" width="1.76953125" style="62" customWidth="1"/>
    <col min="6413" max="6656" width="8.99609375" style="62" customWidth="1"/>
    <col min="6657" max="6657" width="2.31640625" style="62" customWidth="1"/>
    <col min="6658" max="6658" width="6.953125" style="62" customWidth="1"/>
    <col min="6659" max="6659" width="10.90625" style="62" customWidth="1"/>
    <col min="6660" max="6661" width="8.99609375" style="62" customWidth="1"/>
    <col min="6662" max="6662" width="6.6796875" style="62" customWidth="1"/>
    <col min="6663" max="6663" width="14.86328125" style="62" customWidth="1"/>
    <col min="6664" max="6665" width="8.99609375" style="62" customWidth="1"/>
    <col min="6666" max="6666" width="6.953125" style="62" customWidth="1"/>
    <col min="6667" max="6667" width="8.99609375" style="62" customWidth="1"/>
    <col min="6668" max="6668" width="1.76953125" style="62" customWidth="1"/>
    <col min="6669" max="6912" width="8.99609375" style="62" customWidth="1"/>
    <col min="6913" max="6913" width="2.31640625" style="62" customWidth="1"/>
    <col min="6914" max="6914" width="6.953125" style="62" customWidth="1"/>
    <col min="6915" max="6915" width="10.90625" style="62" customWidth="1"/>
    <col min="6916" max="6917" width="8.99609375" style="62" customWidth="1"/>
    <col min="6918" max="6918" width="6.6796875" style="62" customWidth="1"/>
    <col min="6919" max="6919" width="14.86328125" style="62" customWidth="1"/>
    <col min="6920" max="6921" width="8.99609375" style="62" customWidth="1"/>
    <col min="6922" max="6922" width="6.953125" style="62" customWidth="1"/>
    <col min="6923" max="6923" width="8.99609375" style="62" customWidth="1"/>
    <col min="6924" max="6924" width="1.76953125" style="62" customWidth="1"/>
    <col min="6925" max="7168" width="8.99609375" style="62" customWidth="1"/>
    <col min="7169" max="7169" width="2.31640625" style="62" customWidth="1"/>
    <col min="7170" max="7170" width="6.953125" style="62" customWidth="1"/>
    <col min="7171" max="7171" width="10.90625" style="62" customWidth="1"/>
    <col min="7172" max="7173" width="8.99609375" style="62" customWidth="1"/>
    <col min="7174" max="7174" width="6.6796875" style="62" customWidth="1"/>
    <col min="7175" max="7175" width="14.86328125" style="62" customWidth="1"/>
    <col min="7176" max="7177" width="8.99609375" style="62" customWidth="1"/>
    <col min="7178" max="7178" width="6.953125" style="62" customWidth="1"/>
    <col min="7179" max="7179" width="8.99609375" style="62" customWidth="1"/>
    <col min="7180" max="7180" width="1.76953125" style="62" customWidth="1"/>
    <col min="7181" max="7424" width="8.99609375" style="62" customWidth="1"/>
    <col min="7425" max="7425" width="2.31640625" style="62" customWidth="1"/>
    <col min="7426" max="7426" width="6.953125" style="62" customWidth="1"/>
    <col min="7427" max="7427" width="10.90625" style="62" customWidth="1"/>
    <col min="7428" max="7429" width="8.99609375" style="62" customWidth="1"/>
    <col min="7430" max="7430" width="6.6796875" style="62" customWidth="1"/>
    <col min="7431" max="7431" width="14.86328125" style="62" customWidth="1"/>
    <col min="7432" max="7433" width="8.99609375" style="62" customWidth="1"/>
    <col min="7434" max="7434" width="6.953125" style="62" customWidth="1"/>
    <col min="7435" max="7435" width="8.99609375" style="62" customWidth="1"/>
    <col min="7436" max="7436" width="1.76953125" style="62" customWidth="1"/>
    <col min="7437" max="7680" width="8.99609375" style="62" customWidth="1"/>
    <col min="7681" max="7681" width="2.31640625" style="62" customWidth="1"/>
    <col min="7682" max="7682" width="6.953125" style="62" customWidth="1"/>
    <col min="7683" max="7683" width="10.90625" style="62" customWidth="1"/>
    <col min="7684" max="7685" width="8.99609375" style="62" customWidth="1"/>
    <col min="7686" max="7686" width="6.6796875" style="62" customWidth="1"/>
    <col min="7687" max="7687" width="14.86328125" style="62" customWidth="1"/>
    <col min="7688" max="7689" width="8.99609375" style="62" customWidth="1"/>
    <col min="7690" max="7690" width="6.953125" style="62" customWidth="1"/>
    <col min="7691" max="7691" width="8.99609375" style="62" customWidth="1"/>
    <col min="7692" max="7692" width="1.76953125" style="62" customWidth="1"/>
    <col min="7693" max="7936" width="8.99609375" style="62" customWidth="1"/>
    <col min="7937" max="7937" width="2.31640625" style="62" customWidth="1"/>
    <col min="7938" max="7938" width="6.953125" style="62" customWidth="1"/>
    <col min="7939" max="7939" width="10.90625" style="62" customWidth="1"/>
    <col min="7940" max="7941" width="8.99609375" style="62" customWidth="1"/>
    <col min="7942" max="7942" width="6.6796875" style="62" customWidth="1"/>
    <col min="7943" max="7943" width="14.86328125" style="62" customWidth="1"/>
    <col min="7944" max="7945" width="8.99609375" style="62" customWidth="1"/>
    <col min="7946" max="7946" width="6.953125" style="62" customWidth="1"/>
    <col min="7947" max="7947" width="8.99609375" style="62" customWidth="1"/>
    <col min="7948" max="7948" width="1.76953125" style="62" customWidth="1"/>
    <col min="7949" max="8192" width="8.99609375" style="62" customWidth="1"/>
    <col min="8193" max="8193" width="2.31640625" style="62" customWidth="1"/>
    <col min="8194" max="8194" width="6.953125" style="62" customWidth="1"/>
    <col min="8195" max="8195" width="10.90625" style="62" customWidth="1"/>
    <col min="8196" max="8197" width="8.99609375" style="62" customWidth="1"/>
    <col min="8198" max="8198" width="6.6796875" style="62" customWidth="1"/>
    <col min="8199" max="8199" width="14.86328125" style="62" customWidth="1"/>
    <col min="8200" max="8201" width="8.99609375" style="62" customWidth="1"/>
    <col min="8202" max="8202" width="6.953125" style="62" customWidth="1"/>
    <col min="8203" max="8203" width="8.99609375" style="62" customWidth="1"/>
    <col min="8204" max="8204" width="1.76953125" style="62" customWidth="1"/>
    <col min="8205" max="8448" width="8.99609375" style="62" customWidth="1"/>
    <col min="8449" max="8449" width="2.31640625" style="62" customWidth="1"/>
    <col min="8450" max="8450" width="6.953125" style="62" customWidth="1"/>
    <col min="8451" max="8451" width="10.90625" style="62" customWidth="1"/>
    <col min="8452" max="8453" width="8.99609375" style="62" customWidth="1"/>
    <col min="8454" max="8454" width="6.6796875" style="62" customWidth="1"/>
    <col min="8455" max="8455" width="14.86328125" style="62" customWidth="1"/>
    <col min="8456" max="8457" width="8.99609375" style="62" customWidth="1"/>
    <col min="8458" max="8458" width="6.953125" style="62" customWidth="1"/>
    <col min="8459" max="8459" width="8.99609375" style="62" customWidth="1"/>
    <col min="8460" max="8460" width="1.76953125" style="62" customWidth="1"/>
    <col min="8461" max="8704" width="8.99609375" style="62" customWidth="1"/>
    <col min="8705" max="8705" width="2.31640625" style="62" customWidth="1"/>
    <col min="8706" max="8706" width="6.953125" style="62" customWidth="1"/>
    <col min="8707" max="8707" width="10.90625" style="62" customWidth="1"/>
    <col min="8708" max="8709" width="8.99609375" style="62" customWidth="1"/>
    <col min="8710" max="8710" width="6.6796875" style="62" customWidth="1"/>
    <col min="8711" max="8711" width="14.86328125" style="62" customWidth="1"/>
    <col min="8712" max="8713" width="8.99609375" style="62" customWidth="1"/>
    <col min="8714" max="8714" width="6.953125" style="62" customWidth="1"/>
    <col min="8715" max="8715" width="8.99609375" style="62" customWidth="1"/>
    <col min="8716" max="8716" width="1.76953125" style="62" customWidth="1"/>
    <col min="8717" max="8960" width="8.99609375" style="62" customWidth="1"/>
    <col min="8961" max="8961" width="2.31640625" style="62" customWidth="1"/>
    <col min="8962" max="8962" width="6.953125" style="62" customWidth="1"/>
    <col min="8963" max="8963" width="10.90625" style="62" customWidth="1"/>
    <col min="8964" max="8965" width="8.99609375" style="62" customWidth="1"/>
    <col min="8966" max="8966" width="6.6796875" style="62" customWidth="1"/>
    <col min="8967" max="8967" width="14.86328125" style="62" customWidth="1"/>
    <col min="8968" max="8969" width="8.99609375" style="62" customWidth="1"/>
    <col min="8970" max="8970" width="6.953125" style="62" customWidth="1"/>
    <col min="8971" max="8971" width="8.99609375" style="62" customWidth="1"/>
    <col min="8972" max="8972" width="1.76953125" style="62" customWidth="1"/>
    <col min="8973" max="9216" width="8.99609375" style="62" customWidth="1"/>
    <col min="9217" max="9217" width="2.31640625" style="62" customWidth="1"/>
    <col min="9218" max="9218" width="6.953125" style="62" customWidth="1"/>
    <col min="9219" max="9219" width="10.90625" style="62" customWidth="1"/>
    <col min="9220" max="9221" width="8.99609375" style="62" customWidth="1"/>
    <col min="9222" max="9222" width="6.6796875" style="62" customWidth="1"/>
    <col min="9223" max="9223" width="14.86328125" style="62" customWidth="1"/>
    <col min="9224" max="9225" width="8.99609375" style="62" customWidth="1"/>
    <col min="9226" max="9226" width="6.953125" style="62" customWidth="1"/>
    <col min="9227" max="9227" width="8.99609375" style="62" customWidth="1"/>
    <col min="9228" max="9228" width="1.76953125" style="62" customWidth="1"/>
    <col min="9229" max="9472" width="8.99609375" style="62" customWidth="1"/>
    <col min="9473" max="9473" width="2.31640625" style="62" customWidth="1"/>
    <col min="9474" max="9474" width="6.953125" style="62" customWidth="1"/>
    <col min="9475" max="9475" width="10.90625" style="62" customWidth="1"/>
    <col min="9476" max="9477" width="8.99609375" style="62" customWidth="1"/>
    <col min="9478" max="9478" width="6.6796875" style="62" customWidth="1"/>
    <col min="9479" max="9479" width="14.86328125" style="62" customWidth="1"/>
    <col min="9480" max="9481" width="8.99609375" style="62" customWidth="1"/>
    <col min="9482" max="9482" width="6.953125" style="62" customWidth="1"/>
    <col min="9483" max="9483" width="8.99609375" style="62" customWidth="1"/>
    <col min="9484" max="9484" width="1.76953125" style="62" customWidth="1"/>
    <col min="9485" max="9728" width="8.99609375" style="62" customWidth="1"/>
    <col min="9729" max="9729" width="2.31640625" style="62" customWidth="1"/>
    <col min="9730" max="9730" width="6.953125" style="62" customWidth="1"/>
    <col min="9731" max="9731" width="10.90625" style="62" customWidth="1"/>
    <col min="9732" max="9733" width="8.99609375" style="62" customWidth="1"/>
    <col min="9734" max="9734" width="6.6796875" style="62" customWidth="1"/>
    <col min="9735" max="9735" width="14.86328125" style="62" customWidth="1"/>
    <col min="9736" max="9737" width="8.99609375" style="62" customWidth="1"/>
    <col min="9738" max="9738" width="6.953125" style="62" customWidth="1"/>
    <col min="9739" max="9739" width="8.99609375" style="62" customWidth="1"/>
    <col min="9740" max="9740" width="1.76953125" style="62" customWidth="1"/>
    <col min="9741" max="9984" width="8.99609375" style="62" customWidth="1"/>
    <col min="9985" max="9985" width="2.31640625" style="62" customWidth="1"/>
    <col min="9986" max="9986" width="6.953125" style="62" customWidth="1"/>
    <col min="9987" max="9987" width="10.90625" style="62" customWidth="1"/>
    <col min="9988" max="9989" width="8.99609375" style="62" customWidth="1"/>
    <col min="9990" max="9990" width="6.6796875" style="62" customWidth="1"/>
    <col min="9991" max="9991" width="14.86328125" style="62" customWidth="1"/>
    <col min="9992" max="9993" width="8.99609375" style="62" customWidth="1"/>
    <col min="9994" max="9994" width="6.953125" style="62" customWidth="1"/>
    <col min="9995" max="9995" width="8.99609375" style="62" customWidth="1"/>
    <col min="9996" max="9996" width="1.76953125" style="62" customWidth="1"/>
    <col min="9997" max="10240" width="8.99609375" style="62" customWidth="1"/>
    <col min="10241" max="10241" width="2.31640625" style="62" customWidth="1"/>
    <col min="10242" max="10242" width="6.953125" style="62" customWidth="1"/>
    <col min="10243" max="10243" width="10.90625" style="62" customWidth="1"/>
    <col min="10244" max="10245" width="8.99609375" style="62" customWidth="1"/>
    <col min="10246" max="10246" width="6.6796875" style="62" customWidth="1"/>
    <col min="10247" max="10247" width="14.86328125" style="62" customWidth="1"/>
    <col min="10248" max="10249" width="8.99609375" style="62" customWidth="1"/>
    <col min="10250" max="10250" width="6.953125" style="62" customWidth="1"/>
    <col min="10251" max="10251" width="8.99609375" style="62" customWidth="1"/>
    <col min="10252" max="10252" width="1.76953125" style="62" customWidth="1"/>
    <col min="10253" max="10496" width="8.99609375" style="62" customWidth="1"/>
    <col min="10497" max="10497" width="2.31640625" style="62" customWidth="1"/>
    <col min="10498" max="10498" width="6.953125" style="62" customWidth="1"/>
    <col min="10499" max="10499" width="10.90625" style="62" customWidth="1"/>
    <col min="10500" max="10501" width="8.99609375" style="62" customWidth="1"/>
    <col min="10502" max="10502" width="6.6796875" style="62" customWidth="1"/>
    <col min="10503" max="10503" width="14.86328125" style="62" customWidth="1"/>
    <col min="10504" max="10505" width="8.99609375" style="62" customWidth="1"/>
    <col min="10506" max="10506" width="6.953125" style="62" customWidth="1"/>
    <col min="10507" max="10507" width="8.99609375" style="62" customWidth="1"/>
    <col min="10508" max="10508" width="1.76953125" style="62" customWidth="1"/>
    <col min="10509" max="10752" width="8.99609375" style="62" customWidth="1"/>
    <col min="10753" max="10753" width="2.31640625" style="62" customWidth="1"/>
    <col min="10754" max="10754" width="6.953125" style="62" customWidth="1"/>
    <col min="10755" max="10755" width="10.90625" style="62" customWidth="1"/>
    <col min="10756" max="10757" width="8.99609375" style="62" customWidth="1"/>
    <col min="10758" max="10758" width="6.6796875" style="62" customWidth="1"/>
    <col min="10759" max="10759" width="14.86328125" style="62" customWidth="1"/>
    <col min="10760" max="10761" width="8.99609375" style="62" customWidth="1"/>
    <col min="10762" max="10762" width="6.953125" style="62" customWidth="1"/>
    <col min="10763" max="10763" width="8.99609375" style="62" customWidth="1"/>
    <col min="10764" max="10764" width="1.76953125" style="62" customWidth="1"/>
    <col min="10765" max="11008" width="8.99609375" style="62" customWidth="1"/>
    <col min="11009" max="11009" width="2.31640625" style="62" customWidth="1"/>
    <col min="11010" max="11010" width="6.953125" style="62" customWidth="1"/>
    <col min="11011" max="11011" width="10.90625" style="62" customWidth="1"/>
    <col min="11012" max="11013" width="8.99609375" style="62" customWidth="1"/>
    <col min="11014" max="11014" width="6.6796875" style="62" customWidth="1"/>
    <col min="11015" max="11015" width="14.86328125" style="62" customWidth="1"/>
    <col min="11016" max="11017" width="8.99609375" style="62" customWidth="1"/>
    <col min="11018" max="11018" width="6.953125" style="62" customWidth="1"/>
    <col min="11019" max="11019" width="8.99609375" style="62" customWidth="1"/>
    <col min="11020" max="11020" width="1.76953125" style="62" customWidth="1"/>
    <col min="11021" max="11264" width="8.99609375" style="62" customWidth="1"/>
    <col min="11265" max="11265" width="2.31640625" style="62" customWidth="1"/>
    <col min="11266" max="11266" width="6.953125" style="62" customWidth="1"/>
    <col min="11267" max="11267" width="10.90625" style="62" customWidth="1"/>
    <col min="11268" max="11269" width="8.99609375" style="62" customWidth="1"/>
    <col min="11270" max="11270" width="6.6796875" style="62" customWidth="1"/>
    <col min="11271" max="11271" width="14.86328125" style="62" customWidth="1"/>
    <col min="11272" max="11273" width="8.99609375" style="62" customWidth="1"/>
    <col min="11274" max="11274" width="6.953125" style="62" customWidth="1"/>
    <col min="11275" max="11275" width="8.99609375" style="62" customWidth="1"/>
    <col min="11276" max="11276" width="1.76953125" style="62" customWidth="1"/>
    <col min="11277" max="11520" width="8.99609375" style="62" customWidth="1"/>
    <col min="11521" max="11521" width="2.31640625" style="62" customWidth="1"/>
    <col min="11522" max="11522" width="6.953125" style="62" customWidth="1"/>
    <col min="11523" max="11523" width="10.90625" style="62" customWidth="1"/>
    <col min="11524" max="11525" width="8.99609375" style="62" customWidth="1"/>
    <col min="11526" max="11526" width="6.6796875" style="62" customWidth="1"/>
    <col min="11527" max="11527" width="14.86328125" style="62" customWidth="1"/>
    <col min="11528" max="11529" width="8.99609375" style="62" customWidth="1"/>
    <col min="11530" max="11530" width="6.953125" style="62" customWidth="1"/>
    <col min="11531" max="11531" width="8.99609375" style="62" customWidth="1"/>
    <col min="11532" max="11532" width="1.76953125" style="62" customWidth="1"/>
    <col min="11533" max="11776" width="8.99609375" style="62" customWidth="1"/>
    <col min="11777" max="11777" width="2.31640625" style="62" customWidth="1"/>
    <col min="11778" max="11778" width="6.953125" style="62" customWidth="1"/>
    <col min="11779" max="11779" width="10.90625" style="62" customWidth="1"/>
    <col min="11780" max="11781" width="8.99609375" style="62" customWidth="1"/>
    <col min="11782" max="11782" width="6.6796875" style="62" customWidth="1"/>
    <col min="11783" max="11783" width="14.86328125" style="62" customWidth="1"/>
    <col min="11784" max="11785" width="8.99609375" style="62" customWidth="1"/>
    <col min="11786" max="11786" width="6.953125" style="62" customWidth="1"/>
    <col min="11787" max="11787" width="8.99609375" style="62" customWidth="1"/>
    <col min="11788" max="11788" width="1.76953125" style="62" customWidth="1"/>
    <col min="11789" max="12032" width="8.99609375" style="62" customWidth="1"/>
    <col min="12033" max="12033" width="2.31640625" style="62" customWidth="1"/>
    <col min="12034" max="12034" width="6.953125" style="62" customWidth="1"/>
    <col min="12035" max="12035" width="10.90625" style="62" customWidth="1"/>
    <col min="12036" max="12037" width="8.99609375" style="62" customWidth="1"/>
    <col min="12038" max="12038" width="6.6796875" style="62" customWidth="1"/>
    <col min="12039" max="12039" width="14.86328125" style="62" customWidth="1"/>
    <col min="12040" max="12041" width="8.99609375" style="62" customWidth="1"/>
    <col min="12042" max="12042" width="6.953125" style="62" customWidth="1"/>
    <col min="12043" max="12043" width="8.99609375" style="62" customWidth="1"/>
    <col min="12044" max="12044" width="1.76953125" style="62" customWidth="1"/>
    <col min="12045" max="12288" width="8.99609375" style="62" customWidth="1"/>
    <col min="12289" max="12289" width="2.31640625" style="62" customWidth="1"/>
    <col min="12290" max="12290" width="6.953125" style="62" customWidth="1"/>
    <col min="12291" max="12291" width="10.90625" style="62" customWidth="1"/>
    <col min="12292" max="12293" width="8.99609375" style="62" customWidth="1"/>
    <col min="12294" max="12294" width="6.6796875" style="62" customWidth="1"/>
    <col min="12295" max="12295" width="14.86328125" style="62" customWidth="1"/>
    <col min="12296" max="12297" width="8.99609375" style="62" customWidth="1"/>
    <col min="12298" max="12298" width="6.953125" style="62" customWidth="1"/>
    <col min="12299" max="12299" width="8.99609375" style="62" customWidth="1"/>
    <col min="12300" max="12300" width="1.76953125" style="62" customWidth="1"/>
    <col min="12301" max="12544" width="8.99609375" style="62" customWidth="1"/>
    <col min="12545" max="12545" width="2.31640625" style="62" customWidth="1"/>
    <col min="12546" max="12546" width="6.953125" style="62" customWidth="1"/>
    <col min="12547" max="12547" width="10.90625" style="62" customWidth="1"/>
    <col min="12548" max="12549" width="8.99609375" style="62" customWidth="1"/>
    <col min="12550" max="12550" width="6.6796875" style="62" customWidth="1"/>
    <col min="12551" max="12551" width="14.86328125" style="62" customWidth="1"/>
    <col min="12552" max="12553" width="8.99609375" style="62" customWidth="1"/>
    <col min="12554" max="12554" width="6.953125" style="62" customWidth="1"/>
    <col min="12555" max="12555" width="8.99609375" style="62" customWidth="1"/>
    <col min="12556" max="12556" width="1.76953125" style="62" customWidth="1"/>
    <col min="12557" max="12800" width="8.99609375" style="62" customWidth="1"/>
    <col min="12801" max="12801" width="2.31640625" style="62" customWidth="1"/>
    <col min="12802" max="12802" width="6.953125" style="62" customWidth="1"/>
    <col min="12803" max="12803" width="10.90625" style="62" customWidth="1"/>
    <col min="12804" max="12805" width="8.99609375" style="62" customWidth="1"/>
    <col min="12806" max="12806" width="6.6796875" style="62" customWidth="1"/>
    <col min="12807" max="12807" width="14.86328125" style="62" customWidth="1"/>
    <col min="12808" max="12809" width="8.99609375" style="62" customWidth="1"/>
    <col min="12810" max="12810" width="6.953125" style="62" customWidth="1"/>
    <col min="12811" max="12811" width="8.99609375" style="62" customWidth="1"/>
    <col min="12812" max="12812" width="1.76953125" style="62" customWidth="1"/>
    <col min="12813" max="13056" width="8.99609375" style="62" customWidth="1"/>
    <col min="13057" max="13057" width="2.31640625" style="62" customWidth="1"/>
    <col min="13058" max="13058" width="6.953125" style="62" customWidth="1"/>
    <col min="13059" max="13059" width="10.90625" style="62" customWidth="1"/>
    <col min="13060" max="13061" width="8.99609375" style="62" customWidth="1"/>
    <col min="13062" max="13062" width="6.6796875" style="62" customWidth="1"/>
    <col min="13063" max="13063" width="14.86328125" style="62" customWidth="1"/>
    <col min="13064" max="13065" width="8.99609375" style="62" customWidth="1"/>
    <col min="13066" max="13066" width="6.953125" style="62" customWidth="1"/>
    <col min="13067" max="13067" width="8.99609375" style="62" customWidth="1"/>
    <col min="13068" max="13068" width="1.76953125" style="62" customWidth="1"/>
    <col min="13069" max="13312" width="8.99609375" style="62" customWidth="1"/>
    <col min="13313" max="13313" width="2.31640625" style="62" customWidth="1"/>
    <col min="13314" max="13314" width="6.953125" style="62" customWidth="1"/>
    <col min="13315" max="13315" width="10.90625" style="62" customWidth="1"/>
    <col min="13316" max="13317" width="8.99609375" style="62" customWidth="1"/>
    <col min="13318" max="13318" width="6.6796875" style="62" customWidth="1"/>
    <col min="13319" max="13319" width="14.86328125" style="62" customWidth="1"/>
    <col min="13320" max="13321" width="8.99609375" style="62" customWidth="1"/>
    <col min="13322" max="13322" width="6.953125" style="62" customWidth="1"/>
    <col min="13323" max="13323" width="8.99609375" style="62" customWidth="1"/>
    <col min="13324" max="13324" width="1.76953125" style="62" customWidth="1"/>
    <col min="13325" max="13568" width="8.99609375" style="62" customWidth="1"/>
    <col min="13569" max="13569" width="2.31640625" style="62" customWidth="1"/>
    <col min="13570" max="13570" width="6.953125" style="62" customWidth="1"/>
    <col min="13571" max="13571" width="10.90625" style="62" customWidth="1"/>
    <col min="13572" max="13573" width="8.99609375" style="62" customWidth="1"/>
    <col min="13574" max="13574" width="6.6796875" style="62" customWidth="1"/>
    <col min="13575" max="13575" width="14.86328125" style="62" customWidth="1"/>
    <col min="13576" max="13577" width="8.99609375" style="62" customWidth="1"/>
    <col min="13578" max="13578" width="6.953125" style="62" customWidth="1"/>
    <col min="13579" max="13579" width="8.99609375" style="62" customWidth="1"/>
    <col min="13580" max="13580" width="1.76953125" style="62" customWidth="1"/>
    <col min="13581" max="13824" width="8.99609375" style="62" customWidth="1"/>
    <col min="13825" max="13825" width="2.31640625" style="62" customWidth="1"/>
    <col min="13826" max="13826" width="6.953125" style="62" customWidth="1"/>
    <col min="13827" max="13827" width="10.90625" style="62" customWidth="1"/>
    <col min="13828" max="13829" width="8.99609375" style="62" customWidth="1"/>
    <col min="13830" max="13830" width="6.6796875" style="62" customWidth="1"/>
    <col min="13831" max="13831" width="14.86328125" style="62" customWidth="1"/>
    <col min="13832" max="13833" width="8.99609375" style="62" customWidth="1"/>
    <col min="13834" max="13834" width="6.953125" style="62" customWidth="1"/>
    <col min="13835" max="13835" width="8.99609375" style="62" customWidth="1"/>
    <col min="13836" max="13836" width="1.76953125" style="62" customWidth="1"/>
    <col min="13837" max="14080" width="8.99609375" style="62" customWidth="1"/>
    <col min="14081" max="14081" width="2.31640625" style="62" customWidth="1"/>
    <col min="14082" max="14082" width="6.953125" style="62" customWidth="1"/>
    <col min="14083" max="14083" width="10.90625" style="62" customWidth="1"/>
    <col min="14084" max="14085" width="8.99609375" style="62" customWidth="1"/>
    <col min="14086" max="14086" width="6.6796875" style="62" customWidth="1"/>
    <col min="14087" max="14087" width="14.86328125" style="62" customWidth="1"/>
    <col min="14088" max="14089" width="8.99609375" style="62" customWidth="1"/>
    <col min="14090" max="14090" width="6.953125" style="62" customWidth="1"/>
    <col min="14091" max="14091" width="8.99609375" style="62" customWidth="1"/>
    <col min="14092" max="14092" width="1.76953125" style="62" customWidth="1"/>
    <col min="14093" max="14336" width="8.99609375" style="62" customWidth="1"/>
    <col min="14337" max="14337" width="2.31640625" style="62" customWidth="1"/>
    <col min="14338" max="14338" width="6.953125" style="62" customWidth="1"/>
    <col min="14339" max="14339" width="10.90625" style="62" customWidth="1"/>
    <col min="14340" max="14341" width="8.99609375" style="62" customWidth="1"/>
    <col min="14342" max="14342" width="6.6796875" style="62" customWidth="1"/>
    <col min="14343" max="14343" width="14.86328125" style="62" customWidth="1"/>
    <col min="14344" max="14345" width="8.99609375" style="62" customWidth="1"/>
    <col min="14346" max="14346" width="6.953125" style="62" customWidth="1"/>
    <col min="14347" max="14347" width="8.99609375" style="62" customWidth="1"/>
    <col min="14348" max="14348" width="1.76953125" style="62" customWidth="1"/>
    <col min="14349" max="14592" width="8.99609375" style="62" customWidth="1"/>
    <col min="14593" max="14593" width="2.31640625" style="62" customWidth="1"/>
    <col min="14594" max="14594" width="6.953125" style="62" customWidth="1"/>
    <col min="14595" max="14595" width="10.90625" style="62" customWidth="1"/>
    <col min="14596" max="14597" width="8.99609375" style="62" customWidth="1"/>
    <col min="14598" max="14598" width="6.6796875" style="62" customWidth="1"/>
    <col min="14599" max="14599" width="14.86328125" style="62" customWidth="1"/>
    <col min="14600" max="14601" width="8.99609375" style="62" customWidth="1"/>
    <col min="14602" max="14602" width="6.953125" style="62" customWidth="1"/>
    <col min="14603" max="14603" width="8.99609375" style="62" customWidth="1"/>
    <col min="14604" max="14604" width="1.76953125" style="62" customWidth="1"/>
    <col min="14605" max="14848" width="8.99609375" style="62" customWidth="1"/>
    <col min="14849" max="14849" width="2.31640625" style="62" customWidth="1"/>
    <col min="14850" max="14850" width="6.953125" style="62" customWidth="1"/>
    <col min="14851" max="14851" width="10.90625" style="62" customWidth="1"/>
    <col min="14852" max="14853" width="8.99609375" style="62" customWidth="1"/>
    <col min="14854" max="14854" width="6.6796875" style="62" customWidth="1"/>
    <col min="14855" max="14855" width="14.86328125" style="62" customWidth="1"/>
    <col min="14856" max="14857" width="8.99609375" style="62" customWidth="1"/>
    <col min="14858" max="14858" width="6.953125" style="62" customWidth="1"/>
    <col min="14859" max="14859" width="8.99609375" style="62" customWidth="1"/>
    <col min="14860" max="14860" width="1.76953125" style="62" customWidth="1"/>
    <col min="14861" max="15104" width="8.99609375" style="62" customWidth="1"/>
    <col min="15105" max="15105" width="2.31640625" style="62" customWidth="1"/>
    <col min="15106" max="15106" width="6.953125" style="62" customWidth="1"/>
    <col min="15107" max="15107" width="10.90625" style="62" customWidth="1"/>
    <col min="15108" max="15109" width="8.99609375" style="62" customWidth="1"/>
    <col min="15110" max="15110" width="6.6796875" style="62" customWidth="1"/>
    <col min="15111" max="15111" width="14.86328125" style="62" customWidth="1"/>
    <col min="15112" max="15113" width="8.99609375" style="62" customWidth="1"/>
    <col min="15114" max="15114" width="6.953125" style="62" customWidth="1"/>
    <col min="15115" max="15115" width="8.99609375" style="62" customWidth="1"/>
    <col min="15116" max="15116" width="1.76953125" style="62" customWidth="1"/>
    <col min="15117" max="15360" width="8.99609375" style="62" customWidth="1"/>
    <col min="15361" max="15361" width="2.31640625" style="62" customWidth="1"/>
    <col min="15362" max="15362" width="6.953125" style="62" customWidth="1"/>
    <col min="15363" max="15363" width="10.90625" style="62" customWidth="1"/>
    <col min="15364" max="15365" width="8.99609375" style="62" customWidth="1"/>
    <col min="15366" max="15366" width="6.6796875" style="62" customWidth="1"/>
    <col min="15367" max="15367" width="14.86328125" style="62" customWidth="1"/>
    <col min="15368" max="15369" width="8.99609375" style="62" customWidth="1"/>
    <col min="15370" max="15370" width="6.953125" style="62" customWidth="1"/>
    <col min="15371" max="15371" width="8.99609375" style="62" customWidth="1"/>
    <col min="15372" max="15372" width="1.76953125" style="62" customWidth="1"/>
    <col min="15373" max="15616" width="8.99609375" style="62" customWidth="1"/>
    <col min="15617" max="15617" width="2.31640625" style="62" customWidth="1"/>
    <col min="15618" max="15618" width="6.953125" style="62" customWidth="1"/>
    <col min="15619" max="15619" width="10.90625" style="62" customWidth="1"/>
    <col min="15620" max="15621" width="8.99609375" style="62" customWidth="1"/>
    <col min="15622" max="15622" width="6.6796875" style="62" customWidth="1"/>
    <col min="15623" max="15623" width="14.86328125" style="62" customWidth="1"/>
    <col min="15624" max="15625" width="8.99609375" style="62" customWidth="1"/>
    <col min="15626" max="15626" width="6.953125" style="62" customWidth="1"/>
    <col min="15627" max="15627" width="8.99609375" style="62" customWidth="1"/>
    <col min="15628" max="15628" width="1.76953125" style="62" customWidth="1"/>
    <col min="15629" max="15872" width="8.99609375" style="62" customWidth="1"/>
    <col min="15873" max="15873" width="2.31640625" style="62" customWidth="1"/>
    <col min="15874" max="15874" width="6.953125" style="62" customWidth="1"/>
    <col min="15875" max="15875" width="10.90625" style="62" customWidth="1"/>
    <col min="15876" max="15877" width="8.99609375" style="62" customWidth="1"/>
    <col min="15878" max="15878" width="6.6796875" style="62" customWidth="1"/>
    <col min="15879" max="15879" width="14.86328125" style="62" customWidth="1"/>
    <col min="15880" max="15881" width="8.99609375" style="62" customWidth="1"/>
    <col min="15882" max="15882" width="6.953125" style="62" customWidth="1"/>
    <col min="15883" max="15883" width="8.99609375" style="62" customWidth="1"/>
    <col min="15884" max="15884" width="1.76953125" style="62" customWidth="1"/>
    <col min="15885" max="16128" width="8.99609375" style="62" customWidth="1"/>
    <col min="16129" max="16129" width="2.31640625" style="62" customWidth="1"/>
    <col min="16130" max="16130" width="6.953125" style="62" customWidth="1"/>
    <col min="16131" max="16131" width="10.90625" style="62" customWidth="1"/>
    <col min="16132" max="16133" width="8.99609375" style="62" customWidth="1"/>
    <col min="16134" max="16134" width="6.6796875" style="62" customWidth="1"/>
    <col min="16135" max="16135" width="14.86328125" style="62" customWidth="1"/>
    <col min="16136" max="16137" width="8.99609375" style="62" customWidth="1"/>
    <col min="16138" max="16138" width="6.953125" style="62" customWidth="1"/>
    <col min="16139" max="16139" width="8.99609375" style="62" customWidth="1"/>
    <col min="16140" max="16140" width="1.76953125" style="62" customWidth="1"/>
    <col min="16141" max="16384" width="8.99609375" style="62" customWidth="1"/>
  </cols>
  <sheetData>
    <row r="1" spans="2:2" x14ac:dyDescent="0.25">
      <c r="B1" s="63" t="s">
        <v>94</v>
      </c>
    </row>
    <row r="2" ht="13.5" customHeight="1" spans="5:7" x14ac:dyDescent="0.25">
      <c r="E2" s="64"/>
      <c r="F2" s="64"/>
      <c r="G2" s="64"/>
    </row>
    <row r="3" ht="13.5" customHeight="1" spans="5:7" x14ac:dyDescent="0.25">
      <c r="E3" s="64"/>
      <c r="F3" s="64"/>
      <c r="G3" s="64"/>
    </row>
    <row r="4" ht="13.5" customHeight="1" spans="4:9" x14ac:dyDescent="0.25">
      <c r="D4" s="65" t="s">
        <v>95</v>
      </c>
      <c r="E4" s="65"/>
      <c r="F4" s="65"/>
      <c r="G4" s="65"/>
      <c r="H4" s="65"/>
      <c r="I4" s="65"/>
    </row>
    <row r="5" ht="13.5" customHeight="1" spans="4:9" x14ac:dyDescent="0.25">
      <c r="D5" s="65"/>
      <c r="E5" s="65"/>
      <c r="F5" s="65"/>
      <c r="G5" s="65"/>
      <c r="H5" s="65"/>
      <c r="I5" s="65"/>
    </row>
    <row r="6" ht="13.5" customHeight="1" spans="4:9" x14ac:dyDescent="0.25">
      <c r="D6" s="65"/>
      <c r="E6" s="65"/>
      <c r="F6" s="65"/>
      <c r="G6" s="65"/>
      <c r="H6" s="65"/>
      <c r="I6" s="65"/>
    </row>
    <row r="7" ht="13.5" customHeight="1" spans="4:9" x14ac:dyDescent="0.25">
      <c r="D7" s="65"/>
      <c r="E7" s="65"/>
      <c r="F7" s="65"/>
      <c r="G7" s="65"/>
      <c r="H7" s="65"/>
      <c r="I7" s="65"/>
    </row>
    <row r="9" ht="24" customHeight="1" spans="3:3" x14ac:dyDescent="0.25">
      <c r="C9" s="66" t="s">
        <v>96</v>
      </c>
    </row>
    <row r="10" ht="15.75" customHeight="1" spans="3:3" x14ac:dyDescent="0.25">
      <c r="C10" s="66"/>
    </row>
    <row r="11" ht="24" customHeight="1" spans="3:10" x14ac:dyDescent="0.25">
      <c r="C11" s="66"/>
      <c r="F11" s="67" t="s">
        <v>97</v>
      </c>
      <c r="G11" s="67"/>
      <c r="H11" s="68">
        <v>0.6666666666678793</v>
      </c>
      <c r="I11" s="69"/>
      <c r="J11" s="69"/>
    </row>
    <row r="12" ht="24" customHeight="1" spans="3:10" x14ac:dyDescent="0.25">
      <c r="C12" s="66"/>
      <c r="F12" s="70" t="s">
        <v>98</v>
      </c>
      <c r="G12" s="71"/>
      <c r="H12" s="72">
        <v>0.75</v>
      </c>
      <c r="I12" s="71"/>
      <c r="J12" s="71"/>
    </row>
    <row r="15" ht="13.5" customHeight="1" spans="3:10" x14ac:dyDescent="0.25">
      <c r="C15" s="66"/>
      <c r="D15" s="73" t="s">
        <v>99</v>
      </c>
      <c r="E15" s="73"/>
      <c r="F15" s="73"/>
      <c r="G15" s="73"/>
      <c r="H15" s="73"/>
      <c r="I15" s="74">
        <v>51</v>
      </c>
      <c r="J15" s="74"/>
    </row>
    <row r="16" ht="13.5" customHeight="1" spans="3:10" x14ac:dyDescent="0.25">
      <c r="C16" s="66"/>
      <c r="D16" s="75"/>
      <c r="E16" s="75"/>
      <c r="F16" s="75"/>
      <c r="G16" s="75"/>
      <c r="H16" s="75"/>
      <c r="I16" s="76"/>
      <c r="J16" s="76"/>
    </row>
    <row r="17" ht="13.5" customHeight="1" spans="3:10" x14ac:dyDescent="0.25">
      <c r="C17" s="66"/>
      <c r="D17" s="73" t="s">
        <v>119</v>
      </c>
      <c r="E17" s="73"/>
      <c r="F17" s="73"/>
      <c r="G17" s="73"/>
      <c r="H17" s="73"/>
      <c r="I17" s="77">
        <v>2</v>
      </c>
      <c r="J17" s="77"/>
    </row>
    <row r="18" ht="13.5" customHeight="1" spans="3:10" x14ac:dyDescent="0.25">
      <c r="C18" s="66"/>
      <c r="D18" s="75"/>
      <c r="E18" s="75"/>
      <c r="F18" s="75"/>
      <c r="G18" s="75"/>
      <c r="H18" s="75"/>
      <c r="I18" s="76"/>
      <c r="J18" s="76"/>
    </row>
    <row r="21" ht="24" customHeight="1" spans="3:10" x14ac:dyDescent="0.25">
      <c r="C21" s="78" t="s">
        <v>101</v>
      </c>
      <c r="D21" s="79"/>
      <c r="E21" s="79"/>
      <c r="F21" s="80"/>
      <c r="G21" s="81" t="s">
        <v>102</v>
      </c>
      <c r="H21" s="78" t="s">
        <v>103</v>
      </c>
      <c r="I21" s="79"/>
      <c r="J21" s="80"/>
    </row>
    <row r="22" ht="24" customHeight="1" spans="3:10" x14ac:dyDescent="0.25">
      <c r="C22" s="82" t="s">
        <v>104</v>
      </c>
      <c r="D22" s="83"/>
      <c r="E22" s="83"/>
      <c r="F22" s="83"/>
      <c r="G22" s="84"/>
      <c r="H22" s="85"/>
      <c r="I22" s="86"/>
      <c r="J22" s="87"/>
    </row>
    <row r="23" ht="24" customHeight="1" spans="3:10" x14ac:dyDescent="0.25">
      <c r="C23" s="82" t="s">
        <v>105</v>
      </c>
      <c r="D23" s="83"/>
      <c r="E23" s="83"/>
      <c r="F23" s="83"/>
      <c r="G23" s="84">
        <v>1</v>
      </c>
      <c r="H23" s="85">
        <f>果物!K37+果物!K74+果物!K111</f>
        <v>188768</v>
      </c>
      <c r="I23" s="86"/>
      <c r="J23" s="87"/>
    </row>
    <row r="24" ht="24" customHeight="1" spans="3:10" x14ac:dyDescent="0.25">
      <c r="C24" s="82" t="s">
        <v>106</v>
      </c>
      <c r="D24" s="83"/>
      <c r="E24" s="83"/>
      <c r="F24" s="83"/>
      <c r="G24" s="91"/>
      <c r="H24" s="85"/>
      <c r="I24" s="86"/>
      <c r="J24" s="87"/>
    </row>
    <row r="25" ht="24" customHeight="1" spans="3:10" x14ac:dyDescent="0.25">
      <c r="C25" s="82" t="s">
        <v>107</v>
      </c>
      <c r="D25" s="83"/>
      <c r="E25" s="83"/>
      <c r="F25" s="83"/>
      <c r="G25" s="91"/>
      <c r="H25" s="85"/>
      <c r="I25" s="86"/>
      <c r="J25" s="87"/>
    </row>
    <row r="26" ht="24" customHeight="1" spans="3:10" x14ac:dyDescent="0.25">
      <c r="C26" s="92" t="s">
        <v>108</v>
      </c>
      <c r="D26" s="93"/>
      <c r="E26" s="93"/>
      <c r="F26" s="94"/>
      <c r="G26" s="95">
        <f>SUM(G22:G25)</f>
        <v>1</v>
      </c>
      <c r="H26" s="85">
        <f>SUM(H22:J25)</f>
        <v>188768</v>
      </c>
      <c r="I26" s="86"/>
      <c r="J26" s="87"/>
    </row>
    <row r="27" ht="24" customHeight="1" spans="3:10" x14ac:dyDescent="0.25">
      <c r="C27" s="62"/>
      <c r="D27" s="62"/>
      <c r="E27" s="62"/>
      <c r="F27" s="62"/>
      <c r="G27" s="62"/>
      <c r="H27" s="62"/>
      <c r="I27" s="62"/>
      <c r="J27" s="62"/>
    </row>
    <row r="29" spans="11:11" x14ac:dyDescent="0.25">
      <c r="K29" s="84" t="s">
        <v>5</v>
      </c>
    </row>
    <row r="30" spans="11:11" x14ac:dyDescent="0.25">
      <c r="K30" s="96"/>
    </row>
    <row r="31" spans="11:11" x14ac:dyDescent="0.25">
      <c r="K31" s="96"/>
    </row>
    <row r="32" ht="13.5" customHeight="1" spans="5:11" x14ac:dyDescent="0.25">
      <c r="E32" s="73" t="s">
        <v>109</v>
      </c>
      <c r="F32" s="73"/>
      <c r="G32" s="73"/>
      <c r="H32" s="73"/>
      <c r="I32" s="73"/>
      <c r="K32" s="96"/>
    </row>
    <row r="33" ht="13.5" customHeight="1" spans="5:11" x14ac:dyDescent="0.25">
      <c r="E33" s="75"/>
      <c r="F33" s="75"/>
      <c r="G33" s="75"/>
      <c r="H33" s="75"/>
      <c r="I33" s="75"/>
      <c r="K33" s="97"/>
    </row>
    <row r="34" spans="5:9" x14ac:dyDescent="0.25">
      <c r="E34" s="98"/>
      <c r="F34" s="98"/>
      <c r="G34" s="98"/>
      <c r="H34" s="98"/>
      <c r="I34" s="98"/>
    </row>
    <row r="35" spans="5:9" x14ac:dyDescent="0.25">
      <c r="E35" s="62"/>
      <c r="F35" s="62"/>
      <c r="G35" s="62"/>
      <c r="H35" s="62"/>
      <c r="I35" s="62"/>
    </row>
    <row r="36" ht="18.75" customHeight="1" spans="3:3" x14ac:dyDescent="0.25">
      <c r="C36" s="99" t="s">
        <v>110</v>
      </c>
    </row>
    <row r="37" ht="24" customHeight="1" spans="3:10" x14ac:dyDescent="0.25">
      <c r="C37" s="100" t="s">
        <v>111</v>
      </c>
      <c r="D37" s="78" t="s">
        <v>112</v>
      </c>
      <c r="E37" s="79"/>
      <c r="F37" s="80"/>
      <c r="G37" s="78" t="s">
        <v>113</v>
      </c>
      <c r="H37" s="80"/>
      <c r="I37" s="78" t="s">
        <v>114</v>
      </c>
      <c r="J37" s="80"/>
    </row>
    <row r="38" ht="24" customHeight="1" spans="3:10" x14ac:dyDescent="0.25">
      <c r="C38" s="91"/>
      <c r="D38" s="101"/>
      <c r="E38" s="71"/>
      <c r="F38" s="102"/>
      <c r="G38" s="101"/>
      <c r="H38" s="102"/>
      <c r="I38" s="101"/>
      <c r="J38" s="102"/>
    </row>
    <row r="39" ht="24" customHeight="1" spans="3:10" x14ac:dyDescent="0.25">
      <c r="C39" s="91"/>
      <c r="D39" s="101"/>
      <c r="E39" s="71"/>
      <c r="F39" s="102"/>
      <c r="G39" s="101"/>
      <c r="H39" s="102"/>
      <c r="I39" s="101"/>
      <c r="J39" s="102"/>
    </row>
    <row r="40" ht="24" customHeight="1" spans="3:10" x14ac:dyDescent="0.25">
      <c r="C40" s="91"/>
      <c r="D40" s="101"/>
      <c r="E40" s="71"/>
      <c r="F40" s="102"/>
      <c r="G40" s="101"/>
      <c r="H40" s="102"/>
      <c r="I40" s="101"/>
      <c r="J40" s="102"/>
    </row>
    <row r="41" ht="24" customHeight="1" spans="3:10" x14ac:dyDescent="0.25">
      <c r="C41" s="91"/>
      <c r="D41" s="101"/>
      <c r="E41" s="71"/>
      <c r="F41" s="102"/>
      <c r="G41" s="101"/>
      <c r="H41" s="102"/>
      <c r="I41" s="101"/>
      <c r="J41" s="102"/>
    </row>
    <row r="42" ht="24" customHeight="1" spans="3:10" x14ac:dyDescent="0.25">
      <c r="C42" s="91"/>
      <c r="D42" s="101"/>
      <c r="E42" s="71"/>
      <c r="F42" s="102"/>
      <c r="G42" s="101"/>
      <c r="H42" s="102"/>
      <c r="I42" s="101"/>
      <c r="J42" s="102"/>
    </row>
    <row r="43" ht="24" customHeight="1" spans="3:10" x14ac:dyDescent="0.25">
      <c r="C43" s="91"/>
      <c r="D43" s="101"/>
      <c r="E43" s="71"/>
      <c r="F43" s="102"/>
      <c r="G43" s="101"/>
      <c r="H43" s="102"/>
      <c r="I43" s="101"/>
      <c r="J43" s="102"/>
    </row>
    <row r="44" ht="24" customHeight="1" spans="3:10" x14ac:dyDescent="0.25">
      <c r="C44" s="91"/>
      <c r="D44" s="101"/>
      <c r="E44" s="71"/>
      <c r="F44" s="102"/>
      <c r="G44" s="101"/>
      <c r="H44" s="102"/>
      <c r="I44" s="101"/>
      <c r="J44" s="102"/>
    </row>
    <row r="45" ht="24" customHeight="1" spans="3:10" x14ac:dyDescent="0.25">
      <c r="C45" s="91"/>
      <c r="D45" s="101"/>
      <c r="E45" s="71"/>
      <c r="F45" s="102"/>
      <c r="G45" s="101"/>
      <c r="H45" s="102"/>
      <c r="I45" s="101"/>
      <c r="J45" s="102"/>
    </row>
  </sheetData>
  <mergeCells count="41">
    <mergeCell ref="D4:I6"/>
    <mergeCell ref="D15:H16"/>
    <mergeCell ref="I15:J16"/>
    <mergeCell ref="D17:H18"/>
    <mergeCell ref="I17:J18"/>
    <mergeCell ref="C21:F21"/>
    <mergeCell ref="H21:J21"/>
    <mergeCell ref="H22:J22"/>
    <mergeCell ref="H23:J23"/>
    <mergeCell ref="H24:J24"/>
    <mergeCell ref="H25:J25"/>
    <mergeCell ref="C26:F26"/>
    <mergeCell ref="H26:J26"/>
    <mergeCell ref="E32:I33"/>
    <mergeCell ref="D37:F37"/>
    <mergeCell ref="G37:H37"/>
    <mergeCell ref="I37:J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3:F43"/>
    <mergeCell ref="G43:H43"/>
    <mergeCell ref="I43:J43"/>
    <mergeCell ref="D44:F44"/>
    <mergeCell ref="G44:H44"/>
    <mergeCell ref="I44:J44"/>
    <mergeCell ref="D45:F45"/>
    <mergeCell ref="G45:H45"/>
    <mergeCell ref="I45:J45"/>
  </mergeCells>
  <pageMargins left="0.7" right="0.7" top="0.75" bottom="0.75" header="0.3" footer="0.3"/>
  <pageSetup paperSize="9" orientation="portrait" horizontalDpi="4294967295" verticalDpi="4294967295" scale="94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 zoomScale="60" zoomScaleNormal="100" view="pageBreakPreview">
      <selection activeCell="H23" sqref="H23"/>
    </sheetView>
  </sheetViews>
  <sheetFormatPr defaultRowHeight="13.5" outlineLevelRow="0" outlineLevelCol="0" x14ac:dyDescent="0.1" customHeight="1"/>
  <cols>
    <col min="1" max="1" width="2.31640625" customWidth="1"/>
    <col min="2" max="2" width="6.953125" customWidth="1"/>
    <col min="3" max="3" width="10.90625" customWidth="1"/>
    <col min="6" max="6" width="6.6796875" customWidth="1"/>
    <col min="7" max="7" width="14.86328125" customWidth="1"/>
    <col min="8" max="8" width="7.76953125" customWidth="1"/>
    <col min="10" max="10" width="7.2265625" customWidth="1"/>
    <col min="12" max="12" width="1.76953125" customWidth="1"/>
    <col min="257" max="257" width="2.31640625" customWidth="1"/>
    <col min="258" max="258" width="6.953125" customWidth="1"/>
    <col min="259" max="259" width="10.90625" customWidth="1"/>
    <col min="262" max="262" width="6.6796875" customWidth="1"/>
    <col min="263" max="263" width="14.86328125" customWidth="1"/>
    <col min="264" max="264" width="7.76953125" customWidth="1"/>
    <col min="266" max="266" width="7.2265625" customWidth="1"/>
    <col min="268" max="268" width="1.76953125" customWidth="1"/>
    <col min="513" max="513" width="2.31640625" customWidth="1"/>
    <col min="514" max="514" width="6.953125" customWidth="1"/>
    <col min="515" max="515" width="10.90625" customWidth="1"/>
    <col min="518" max="518" width="6.6796875" customWidth="1"/>
    <col min="519" max="519" width="14.86328125" customWidth="1"/>
    <col min="520" max="520" width="7.76953125" customWidth="1"/>
    <col min="522" max="522" width="7.2265625" customWidth="1"/>
    <col min="524" max="524" width="1.76953125" customWidth="1"/>
    <col min="769" max="769" width="2.31640625" customWidth="1"/>
    <col min="770" max="770" width="6.953125" customWidth="1"/>
    <col min="771" max="771" width="10.90625" customWidth="1"/>
    <col min="774" max="774" width="6.6796875" customWidth="1"/>
    <col min="775" max="775" width="14.86328125" customWidth="1"/>
    <col min="776" max="776" width="7.76953125" customWidth="1"/>
    <col min="778" max="778" width="7.2265625" customWidth="1"/>
    <col min="780" max="780" width="1.76953125" customWidth="1"/>
    <col min="1025" max="1025" width="2.31640625" customWidth="1"/>
    <col min="1026" max="1026" width="6.953125" customWidth="1"/>
    <col min="1027" max="1027" width="10.90625" customWidth="1"/>
    <col min="1030" max="1030" width="6.6796875" customWidth="1"/>
    <col min="1031" max="1031" width="14.86328125" customWidth="1"/>
    <col min="1032" max="1032" width="7.76953125" customWidth="1"/>
    <col min="1034" max="1034" width="7.2265625" customWidth="1"/>
    <col min="1036" max="1036" width="1.76953125" customWidth="1"/>
    <col min="1281" max="1281" width="2.31640625" customWidth="1"/>
    <col min="1282" max="1282" width="6.953125" customWidth="1"/>
    <col min="1283" max="1283" width="10.90625" customWidth="1"/>
    <col min="1286" max="1286" width="6.6796875" customWidth="1"/>
    <col min="1287" max="1287" width="14.86328125" customWidth="1"/>
    <col min="1288" max="1288" width="7.76953125" customWidth="1"/>
    <col min="1290" max="1290" width="7.2265625" customWidth="1"/>
    <col min="1292" max="1292" width="1.76953125" customWidth="1"/>
    <col min="1537" max="1537" width="2.31640625" customWidth="1"/>
    <col min="1538" max="1538" width="6.953125" customWidth="1"/>
    <col min="1539" max="1539" width="10.90625" customWidth="1"/>
    <col min="1542" max="1542" width="6.6796875" customWidth="1"/>
    <col min="1543" max="1543" width="14.86328125" customWidth="1"/>
    <col min="1544" max="1544" width="7.76953125" customWidth="1"/>
    <col min="1546" max="1546" width="7.2265625" customWidth="1"/>
    <col min="1548" max="1548" width="1.76953125" customWidth="1"/>
    <col min="1793" max="1793" width="2.31640625" customWidth="1"/>
    <col min="1794" max="1794" width="6.953125" customWidth="1"/>
    <col min="1795" max="1795" width="10.90625" customWidth="1"/>
    <col min="1798" max="1798" width="6.6796875" customWidth="1"/>
    <col min="1799" max="1799" width="14.86328125" customWidth="1"/>
    <col min="1800" max="1800" width="7.76953125" customWidth="1"/>
    <col min="1802" max="1802" width="7.2265625" customWidth="1"/>
    <col min="1804" max="1804" width="1.76953125" customWidth="1"/>
    <col min="2049" max="2049" width="2.31640625" customWidth="1"/>
    <col min="2050" max="2050" width="6.953125" customWidth="1"/>
    <col min="2051" max="2051" width="10.90625" customWidth="1"/>
    <col min="2054" max="2054" width="6.6796875" customWidth="1"/>
    <col min="2055" max="2055" width="14.86328125" customWidth="1"/>
    <col min="2056" max="2056" width="7.76953125" customWidth="1"/>
    <col min="2058" max="2058" width="7.2265625" customWidth="1"/>
    <col min="2060" max="2060" width="1.76953125" customWidth="1"/>
    <col min="2305" max="2305" width="2.31640625" customWidth="1"/>
    <col min="2306" max="2306" width="6.953125" customWidth="1"/>
    <col min="2307" max="2307" width="10.90625" customWidth="1"/>
    <col min="2310" max="2310" width="6.6796875" customWidth="1"/>
    <col min="2311" max="2311" width="14.86328125" customWidth="1"/>
    <col min="2312" max="2312" width="7.76953125" customWidth="1"/>
    <col min="2314" max="2314" width="7.2265625" customWidth="1"/>
    <col min="2316" max="2316" width="1.76953125" customWidth="1"/>
    <col min="2561" max="2561" width="2.31640625" customWidth="1"/>
    <col min="2562" max="2562" width="6.953125" customWidth="1"/>
    <col min="2563" max="2563" width="10.90625" customWidth="1"/>
    <col min="2566" max="2566" width="6.6796875" customWidth="1"/>
    <col min="2567" max="2567" width="14.86328125" customWidth="1"/>
    <col min="2568" max="2568" width="7.76953125" customWidth="1"/>
    <col min="2570" max="2570" width="7.2265625" customWidth="1"/>
    <col min="2572" max="2572" width="1.76953125" customWidth="1"/>
    <col min="2817" max="2817" width="2.31640625" customWidth="1"/>
    <col min="2818" max="2818" width="6.953125" customWidth="1"/>
    <col min="2819" max="2819" width="10.90625" customWidth="1"/>
    <col min="2822" max="2822" width="6.6796875" customWidth="1"/>
    <col min="2823" max="2823" width="14.86328125" customWidth="1"/>
    <col min="2824" max="2824" width="7.76953125" customWidth="1"/>
    <col min="2826" max="2826" width="7.2265625" customWidth="1"/>
    <col min="2828" max="2828" width="1.76953125" customWidth="1"/>
    <col min="3073" max="3073" width="2.31640625" customWidth="1"/>
    <col min="3074" max="3074" width="6.953125" customWidth="1"/>
    <col min="3075" max="3075" width="10.90625" customWidth="1"/>
    <col min="3078" max="3078" width="6.6796875" customWidth="1"/>
    <col min="3079" max="3079" width="14.86328125" customWidth="1"/>
    <col min="3080" max="3080" width="7.76953125" customWidth="1"/>
    <col min="3082" max="3082" width="7.2265625" customWidth="1"/>
    <col min="3084" max="3084" width="1.76953125" customWidth="1"/>
    <col min="3329" max="3329" width="2.31640625" customWidth="1"/>
    <col min="3330" max="3330" width="6.953125" customWidth="1"/>
    <col min="3331" max="3331" width="10.90625" customWidth="1"/>
    <col min="3334" max="3334" width="6.6796875" customWidth="1"/>
    <col min="3335" max="3335" width="14.86328125" customWidth="1"/>
    <col min="3336" max="3336" width="7.76953125" customWidth="1"/>
    <col min="3338" max="3338" width="7.2265625" customWidth="1"/>
    <col min="3340" max="3340" width="1.76953125" customWidth="1"/>
    <col min="3585" max="3585" width="2.31640625" customWidth="1"/>
    <col min="3586" max="3586" width="6.953125" customWidth="1"/>
    <col min="3587" max="3587" width="10.90625" customWidth="1"/>
    <col min="3590" max="3590" width="6.6796875" customWidth="1"/>
    <col min="3591" max="3591" width="14.86328125" customWidth="1"/>
    <col min="3592" max="3592" width="7.76953125" customWidth="1"/>
    <col min="3594" max="3594" width="7.2265625" customWidth="1"/>
    <col min="3596" max="3596" width="1.76953125" customWidth="1"/>
    <col min="3841" max="3841" width="2.31640625" customWidth="1"/>
    <col min="3842" max="3842" width="6.953125" customWidth="1"/>
    <col min="3843" max="3843" width="10.90625" customWidth="1"/>
    <col min="3846" max="3846" width="6.6796875" customWidth="1"/>
    <col min="3847" max="3847" width="14.86328125" customWidth="1"/>
    <col min="3848" max="3848" width="7.76953125" customWidth="1"/>
    <col min="3850" max="3850" width="7.2265625" customWidth="1"/>
    <col min="3852" max="3852" width="1.76953125" customWidth="1"/>
    <col min="4097" max="4097" width="2.31640625" customWidth="1"/>
    <col min="4098" max="4098" width="6.953125" customWidth="1"/>
    <col min="4099" max="4099" width="10.90625" customWidth="1"/>
    <col min="4102" max="4102" width="6.6796875" customWidth="1"/>
    <col min="4103" max="4103" width="14.86328125" customWidth="1"/>
    <col min="4104" max="4104" width="7.76953125" customWidth="1"/>
    <col min="4106" max="4106" width="7.2265625" customWidth="1"/>
    <col min="4108" max="4108" width="1.76953125" customWidth="1"/>
    <col min="4353" max="4353" width="2.31640625" customWidth="1"/>
    <col min="4354" max="4354" width="6.953125" customWidth="1"/>
    <col min="4355" max="4355" width="10.90625" customWidth="1"/>
    <col min="4358" max="4358" width="6.6796875" customWidth="1"/>
    <col min="4359" max="4359" width="14.86328125" customWidth="1"/>
    <col min="4360" max="4360" width="7.76953125" customWidth="1"/>
    <col min="4362" max="4362" width="7.2265625" customWidth="1"/>
    <col min="4364" max="4364" width="1.76953125" customWidth="1"/>
    <col min="4609" max="4609" width="2.31640625" customWidth="1"/>
    <col min="4610" max="4610" width="6.953125" customWidth="1"/>
    <col min="4611" max="4611" width="10.90625" customWidth="1"/>
    <col min="4614" max="4614" width="6.6796875" customWidth="1"/>
    <col min="4615" max="4615" width="14.86328125" customWidth="1"/>
    <col min="4616" max="4616" width="7.76953125" customWidth="1"/>
    <col min="4618" max="4618" width="7.2265625" customWidth="1"/>
    <col min="4620" max="4620" width="1.76953125" customWidth="1"/>
    <col min="4865" max="4865" width="2.31640625" customWidth="1"/>
    <col min="4866" max="4866" width="6.953125" customWidth="1"/>
    <col min="4867" max="4867" width="10.90625" customWidth="1"/>
    <col min="4870" max="4870" width="6.6796875" customWidth="1"/>
    <col min="4871" max="4871" width="14.86328125" customWidth="1"/>
    <col min="4872" max="4872" width="7.76953125" customWidth="1"/>
    <col min="4874" max="4874" width="7.2265625" customWidth="1"/>
    <col min="4876" max="4876" width="1.76953125" customWidth="1"/>
    <col min="5121" max="5121" width="2.31640625" customWidth="1"/>
    <col min="5122" max="5122" width="6.953125" customWidth="1"/>
    <col min="5123" max="5123" width="10.90625" customWidth="1"/>
    <col min="5126" max="5126" width="6.6796875" customWidth="1"/>
    <col min="5127" max="5127" width="14.86328125" customWidth="1"/>
    <col min="5128" max="5128" width="7.76953125" customWidth="1"/>
    <col min="5130" max="5130" width="7.2265625" customWidth="1"/>
    <col min="5132" max="5132" width="1.76953125" customWidth="1"/>
    <col min="5377" max="5377" width="2.31640625" customWidth="1"/>
    <col min="5378" max="5378" width="6.953125" customWidth="1"/>
    <col min="5379" max="5379" width="10.90625" customWidth="1"/>
    <col min="5382" max="5382" width="6.6796875" customWidth="1"/>
    <col min="5383" max="5383" width="14.86328125" customWidth="1"/>
    <col min="5384" max="5384" width="7.76953125" customWidth="1"/>
    <col min="5386" max="5386" width="7.2265625" customWidth="1"/>
    <col min="5388" max="5388" width="1.76953125" customWidth="1"/>
    <col min="5633" max="5633" width="2.31640625" customWidth="1"/>
    <col min="5634" max="5634" width="6.953125" customWidth="1"/>
    <col min="5635" max="5635" width="10.90625" customWidth="1"/>
    <col min="5638" max="5638" width="6.6796875" customWidth="1"/>
    <col min="5639" max="5639" width="14.86328125" customWidth="1"/>
    <col min="5640" max="5640" width="7.76953125" customWidth="1"/>
    <col min="5642" max="5642" width="7.2265625" customWidth="1"/>
    <col min="5644" max="5644" width="1.76953125" customWidth="1"/>
    <col min="5889" max="5889" width="2.31640625" customWidth="1"/>
    <col min="5890" max="5890" width="6.953125" customWidth="1"/>
    <col min="5891" max="5891" width="10.90625" customWidth="1"/>
    <col min="5894" max="5894" width="6.6796875" customWidth="1"/>
    <col min="5895" max="5895" width="14.86328125" customWidth="1"/>
    <col min="5896" max="5896" width="7.76953125" customWidth="1"/>
    <col min="5898" max="5898" width="7.2265625" customWidth="1"/>
    <col min="5900" max="5900" width="1.76953125" customWidth="1"/>
    <col min="6145" max="6145" width="2.31640625" customWidth="1"/>
    <col min="6146" max="6146" width="6.953125" customWidth="1"/>
    <col min="6147" max="6147" width="10.90625" customWidth="1"/>
    <col min="6150" max="6150" width="6.6796875" customWidth="1"/>
    <col min="6151" max="6151" width="14.86328125" customWidth="1"/>
    <col min="6152" max="6152" width="7.76953125" customWidth="1"/>
    <col min="6154" max="6154" width="7.2265625" customWidth="1"/>
    <col min="6156" max="6156" width="1.76953125" customWidth="1"/>
    <col min="6401" max="6401" width="2.31640625" customWidth="1"/>
    <col min="6402" max="6402" width="6.953125" customWidth="1"/>
    <col min="6403" max="6403" width="10.90625" customWidth="1"/>
    <col min="6406" max="6406" width="6.6796875" customWidth="1"/>
    <col min="6407" max="6407" width="14.86328125" customWidth="1"/>
    <col min="6408" max="6408" width="7.76953125" customWidth="1"/>
    <col min="6410" max="6410" width="7.2265625" customWidth="1"/>
    <col min="6412" max="6412" width="1.76953125" customWidth="1"/>
    <col min="6657" max="6657" width="2.31640625" customWidth="1"/>
    <col min="6658" max="6658" width="6.953125" customWidth="1"/>
    <col min="6659" max="6659" width="10.90625" customWidth="1"/>
    <col min="6662" max="6662" width="6.6796875" customWidth="1"/>
    <col min="6663" max="6663" width="14.86328125" customWidth="1"/>
    <col min="6664" max="6664" width="7.76953125" customWidth="1"/>
    <col min="6666" max="6666" width="7.2265625" customWidth="1"/>
    <col min="6668" max="6668" width="1.76953125" customWidth="1"/>
    <col min="6913" max="6913" width="2.31640625" customWidth="1"/>
    <col min="6914" max="6914" width="6.953125" customWidth="1"/>
    <col min="6915" max="6915" width="10.90625" customWidth="1"/>
    <col min="6918" max="6918" width="6.6796875" customWidth="1"/>
    <col min="6919" max="6919" width="14.86328125" customWidth="1"/>
    <col min="6920" max="6920" width="7.76953125" customWidth="1"/>
    <col min="6922" max="6922" width="7.2265625" customWidth="1"/>
    <col min="6924" max="6924" width="1.76953125" customWidth="1"/>
    <col min="7169" max="7169" width="2.31640625" customWidth="1"/>
    <col min="7170" max="7170" width="6.953125" customWidth="1"/>
    <col min="7171" max="7171" width="10.90625" customWidth="1"/>
    <col min="7174" max="7174" width="6.6796875" customWidth="1"/>
    <col min="7175" max="7175" width="14.86328125" customWidth="1"/>
    <col min="7176" max="7176" width="7.76953125" customWidth="1"/>
    <col min="7178" max="7178" width="7.2265625" customWidth="1"/>
    <col min="7180" max="7180" width="1.76953125" customWidth="1"/>
    <col min="7425" max="7425" width="2.31640625" customWidth="1"/>
    <col min="7426" max="7426" width="6.953125" customWidth="1"/>
    <col min="7427" max="7427" width="10.90625" customWidth="1"/>
    <col min="7430" max="7430" width="6.6796875" customWidth="1"/>
    <col min="7431" max="7431" width="14.86328125" customWidth="1"/>
    <col min="7432" max="7432" width="7.76953125" customWidth="1"/>
    <col min="7434" max="7434" width="7.2265625" customWidth="1"/>
    <col min="7436" max="7436" width="1.76953125" customWidth="1"/>
    <col min="7681" max="7681" width="2.31640625" customWidth="1"/>
    <col min="7682" max="7682" width="6.953125" customWidth="1"/>
    <col min="7683" max="7683" width="10.90625" customWidth="1"/>
    <col min="7686" max="7686" width="6.6796875" customWidth="1"/>
    <col min="7687" max="7687" width="14.86328125" customWidth="1"/>
    <col min="7688" max="7688" width="7.76953125" customWidth="1"/>
    <col min="7690" max="7690" width="7.2265625" customWidth="1"/>
    <col min="7692" max="7692" width="1.76953125" customWidth="1"/>
    <col min="7937" max="7937" width="2.31640625" customWidth="1"/>
    <col min="7938" max="7938" width="6.953125" customWidth="1"/>
    <col min="7939" max="7939" width="10.90625" customWidth="1"/>
    <col min="7942" max="7942" width="6.6796875" customWidth="1"/>
    <col min="7943" max="7943" width="14.86328125" customWidth="1"/>
    <col min="7944" max="7944" width="7.76953125" customWidth="1"/>
    <col min="7946" max="7946" width="7.2265625" customWidth="1"/>
    <col min="7948" max="7948" width="1.76953125" customWidth="1"/>
    <col min="8193" max="8193" width="2.31640625" customWidth="1"/>
    <col min="8194" max="8194" width="6.953125" customWidth="1"/>
    <col min="8195" max="8195" width="10.90625" customWidth="1"/>
    <col min="8198" max="8198" width="6.6796875" customWidth="1"/>
    <col min="8199" max="8199" width="14.86328125" customWidth="1"/>
    <col min="8200" max="8200" width="7.76953125" customWidth="1"/>
    <col min="8202" max="8202" width="7.2265625" customWidth="1"/>
    <col min="8204" max="8204" width="1.76953125" customWidth="1"/>
    <col min="8449" max="8449" width="2.31640625" customWidth="1"/>
    <col min="8450" max="8450" width="6.953125" customWidth="1"/>
    <col min="8451" max="8451" width="10.90625" customWidth="1"/>
    <col min="8454" max="8454" width="6.6796875" customWidth="1"/>
    <col min="8455" max="8455" width="14.86328125" customWidth="1"/>
    <col min="8456" max="8456" width="7.76953125" customWidth="1"/>
    <col min="8458" max="8458" width="7.2265625" customWidth="1"/>
    <col min="8460" max="8460" width="1.76953125" customWidth="1"/>
    <col min="8705" max="8705" width="2.31640625" customWidth="1"/>
    <col min="8706" max="8706" width="6.953125" customWidth="1"/>
    <col min="8707" max="8707" width="10.90625" customWidth="1"/>
    <col min="8710" max="8710" width="6.6796875" customWidth="1"/>
    <col min="8711" max="8711" width="14.86328125" customWidth="1"/>
    <col min="8712" max="8712" width="7.76953125" customWidth="1"/>
    <col min="8714" max="8714" width="7.2265625" customWidth="1"/>
    <col min="8716" max="8716" width="1.76953125" customWidth="1"/>
    <col min="8961" max="8961" width="2.31640625" customWidth="1"/>
    <col min="8962" max="8962" width="6.953125" customWidth="1"/>
    <col min="8963" max="8963" width="10.90625" customWidth="1"/>
    <col min="8966" max="8966" width="6.6796875" customWidth="1"/>
    <col min="8967" max="8967" width="14.86328125" customWidth="1"/>
    <col min="8968" max="8968" width="7.76953125" customWidth="1"/>
    <col min="8970" max="8970" width="7.2265625" customWidth="1"/>
    <col min="8972" max="8972" width="1.76953125" customWidth="1"/>
    <col min="9217" max="9217" width="2.31640625" customWidth="1"/>
    <col min="9218" max="9218" width="6.953125" customWidth="1"/>
    <col min="9219" max="9219" width="10.90625" customWidth="1"/>
    <col min="9222" max="9222" width="6.6796875" customWidth="1"/>
    <col min="9223" max="9223" width="14.86328125" customWidth="1"/>
    <col min="9224" max="9224" width="7.76953125" customWidth="1"/>
    <col min="9226" max="9226" width="7.2265625" customWidth="1"/>
    <col min="9228" max="9228" width="1.76953125" customWidth="1"/>
    <col min="9473" max="9473" width="2.31640625" customWidth="1"/>
    <col min="9474" max="9474" width="6.953125" customWidth="1"/>
    <col min="9475" max="9475" width="10.90625" customWidth="1"/>
    <col min="9478" max="9478" width="6.6796875" customWidth="1"/>
    <col min="9479" max="9479" width="14.86328125" customWidth="1"/>
    <col min="9480" max="9480" width="7.76953125" customWidth="1"/>
    <col min="9482" max="9482" width="7.2265625" customWidth="1"/>
    <col min="9484" max="9484" width="1.76953125" customWidth="1"/>
    <col min="9729" max="9729" width="2.31640625" customWidth="1"/>
    <col min="9730" max="9730" width="6.953125" customWidth="1"/>
    <col min="9731" max="9731" width="10.90625" customWidth="1"/>
    <col min="9734" max="9734" width="6.6796875" customWidth="1"/>
    <col min="9735" max="9735" width="14.86328125" customWidth="1"/>
    <col min="9736" max="9736" width="7.76953125" customWidth="1"/>
    <col min="9738" max="9738" width="7.2265625" customWidth="1"/>
    <col min="9740" max="9740" width="1.76953125" customWidth="1"/>
    <col min="9985" max="9985" width="2.31640625" customWidth="1"/>
    <col min="9986" max="9986" width="6.953125" customWidth="1"/>
    <col min="9987" max="9987" width="10.90625" customWidth="1"/>
    <col min="9990" max="9990" width="6.6796875" customWidth="1"/>
    <col min="9991" max="9991" width="14.86328125" customWidth="1"/>
    <col min="9992" max="9992" width="7.76953125" customWidth="1"/>
    <col min="9994" max="9994" width="7.2265625" customWidth="1"/>
    <col min="9996" max="9996" width="1.76953125" customWidth="1"/>
    <col min="10241" max="10241" width="2.31640625" customWidth="1"/>
    <col min="10242" max="10242" width="6.953125" customWidth="1"/>
    <col min="10243" max="10243" width="10.90625" customWidth="1"/>
    <col min="10246" max="10246" width="6.6796875" customWidth="1"/>
    <col min="10247" max="10247" width="14.86328125" customWidth="1"/>
    <col min="10248" max="10248" width="7.76953125" customWidth="1"/>
    <col min="10250" max="10250" width="7.2265625" customWidth="1"/>
    <col min="10252" max="10252" width="1.76953125" customWidth="1"/>
    <col min="10497" max="10497" width="2.31640625" customWidth="1"/>
    <col min="10498" max="10498" width="6.953125" customWidth="1"/>
    <col min="10499" max="10499" width="10.90625" customWidth="1"/>
    <col min="10502" max="10502" width="6.6796875" customWidth="1"/>
    <col min="10503" max="10503" width="14.86328125" customWidth="1"/>
    <col min="10504" max="10504" width="7.76953125" customWidth="1"/>
    <col min="10506" max="10506" width="7.2265625" customWidth="1"/>
    <col min="10508" max="10508" width="1.76953125" customWidth="1"/>
    <col min="10753" max="10753" width="2.31640625" customWidth="1"/>
    <col min="10754" max="10754" width="6.953125" customWidth="1"/>
    <col min="10755" max="10755" width="10.90625" customWidth="1"/>
    <col min="10758" max="10758" width="6.6796875" customWidth="1"/>
    <col min="10759" max="10759" width="14.86328125" customWidth="1"/>
    <col min="10760" max="10760" width="7.76953125" customWidth="1"/>
    <col min="10762" max="10762" width="7.2265625" customWidth="1"/>
    <col min="10764" max="10764" width="1.76953125" customWidth="1"/>
    <col min="11009" max="11009" width="2.31640625" customWidth="1"/>
    <col min="11010" max="11010" width="6.953125" customWidth="1"/>
    <col min="11011" max="11011" width="10.90625" customWidth="1"/>
    <col min="11014" max="11014" width="6.6796875" customWidth="1"/>
    <col min="11015" max="11015" width="14.86328125" customWidth="1"/>
    <col min="11016" max="11016" width="7.76953125" customWidth="1"/>
    <col min="11018" max="11018" width="7.2265625" customWidth="1"/>
    <col min="11020" max="11020" width="1.76953125" customWidth="1"/>
    <col min="11265" max="11265" width="2.31640625" customWidth="1"/>
    <col min="11266" max="11266" width="6.953125" customWidth="1"/>
    <col min="11267" max="11267" width="10.90625" customWidth="1"/>
    <col min="11270" max="11270" width="6.6796875" customWidth="1"/>
    <col min="11271" max="11271" width="14.86328125" customWidth="1"/>
    <col min="11272" max="11272" width="7.76953125" customWidth="1"/>
    <col min="11274" max="11274" width="7.2265625" customWidth="1"/>
    <col min="11276" max="11276" width="1.76953125" customWidth="1"/>
    <col min="11521" max="11521" width="2.31640625" customWidth="1"/>
    <col min="11522" max="11522" width="6.953125" customWidth="1"/>
    <col min="11523" max="11523" width="10.90625" customWidth="1"/>
    <col min="11526" max="11526" width="6.6796875" customWidth="1"/>
    <col min="11527" max="11527" width="14.86328125" customWidth="1"/>
    <col min="11528" max="11528" width="7.76953125" customWidth="1"/>
    <col min="11530" max="11530" width="7.2265625" customWidth="1"/>
    <col min="11532" max="11532" width="1.76953125" customWidth="1"/>
    <col min="11777" max="11777" width="2.31640625" customWidth="1"/>
    <col min="11778" max="11778" width="6.953125" customWidth="1"/>
    <col min="11779" max="11779" width="10.90625" customWidth="1"/>
    <col min="11782" max="11782" width="6.6796875" customWidth="1"/>
    <col min="11783" max="11783" width="14.86328125" customWidth="1"/>
    <col min="11784" max="11784" width="7.76953125" customWidth="1"/>
    <col min="11786" max="11786" width="7.2265625" customWidth="1"/>
    <col min="11788" max="11788" width="1.76953125" customWidth="1"/>
    <col min="12033" max="12033" width="2.31640625" customWidth="1"/>
    <col min="12034" max="12034" width="6.953125" customWidth="1"/>
    <col min="12035" max="12035" width="10.90625" customWidth="1"/>
    <col min="12038" max="12038" width="6.6796875" customWidth="1"/>
    <col min="12039" max="12039" width="14.86328125" customWidth="1"/>
    <col min="12040" max="12040" width="7.76953125" customWidth="1"/>
    <col min="12042" max="12042" width="7.2265625" customWidth="1"/>
    <col min="12044" max="12044" width="1.76953125" customWidth="1"/>
    <col min="12289" max="12289" width="2.31640625" customWidth="1"/>
    <col min="12290" max="12290" width="6.953125" customWidth="1"/>
    <col min="12291" max="12291" width="10.90625" customWidth="1"/>
    <col min="12294" max="12294" width="6.6796875" customWidth="1"/>
    <col min="12295" max="12295" width="14.86328125" customWidth="1"/>
    <col min="12296" max="12296" width="7.76953125" customWidth="1"/>
    <col min="12298" max="12298" width="7.2265625" customWidth="1"/>
    <col min="12300" max="12300" width="1.76953125" customWidth="1"/>
    <col min="12545" max="12545" width="2.31640625" customWidth="1"/>
    <col min="12546" max="12546" width="6.953125" customWidth="1"/>
    <col min="12547" max="12547" width="10.90625" customWidth="1"/>
    <col min="12550" max="12550" width="6.6796875" customWidth="1"/>
    <col min="12551" max="12551" width="14.86328125" customWidth="1"/>
    <col min="12552" max="12552" width="7.76953125" customWidth="1"/>
    <col min="12554" max="12554" width="7.2265625" customWidth="1"/>
    <col min="12556" max="12556" width="1.76953125" customWidth="1"/>
    <col min="12801" max="12801" width="2.31640625" customWidth="1"/>
    <col min="12802" max="12802" width="6.953125" customWidth="1"/>
    <col min="12803" max="12803" width="10.90625" customWidth="1"/>
    <col min="12806" max="12806" width="6.6796875" customWidth="1"/>
    <col min="12807" max="12807" width="14.86328125" customWidth="1"/>
    <col min="12808" max="12808" width="7.76953125" customWidth="1"/>
    <col min="12810" max="12810" width="7.2265625" customWidth="1"/>
    <col min="12812" max="12812" width="1.76953125" customWidth="1"/>
    <col min="13057" max="13057" width="2.31640625" customWidth="1"/>
    <col min="13058" max="13058" width="6.953125" customWidth="1"/>
    <col min="13059" max="13059" width="10.90625" customWidth="1"/>
    <col min="13062" max="13062" width="6.6796875" customWidth="1"/>
    <col min="13063" max="13063" width="14.86328125" customWidth="1"/>
    <col min="13064" max="13064" width="7.76953125" customWidth="1"/>
    <col min="13066" max="13066" width="7.2265625" customWidth="1"/>
    <col min="13068" max="13068" width="1.76953125" customWidth="1"/>
    <col min="13313" max="13313" width="2.31640625" customWidth="1"/>
    <col min="13314" max="13314" width="6.953125" customWidth="1"/>
    <col min="13315" max="13315" width="10.90625" customWidth="1"/>
    <col min="13318" max="13318" width="6.6796875" customWidth="1"/>
    <col min="13319" max="13319" width="14.86328125" customWidth="1"/>
    <col min="13320" max="13320" width="7.76953125" customWidth="1"/>
    <col min="13322" max="13322" width="7.2265625" customWidth="1"/>
    <col min="13324" max="13324" width="1.76953125" customWidth="1"/>
    <col min="13569" max="13569" width="2.31640625" customWidth="1"/>
    <col min="13570" max="13570" width="6.953125" customWidth="1"/>
    <col min="13571" max="13571" width="10.90625" customWidth="1"/>
    <col min="13574" max="13574" width="6.6796875" customWidth="1"/>
    <col min="13575" max="13575" width="14.86328125" customWidth="1"/>
    <col min="13576" max="13576" width="7.76953125" customWidth="1"/>
    <col min="13578" max="13578" width="7.2265625" customWidth="1"/>
    <col min="13580" max="13580" width="1.76953125" customWidth="1"/>
    <col min="13825" max="13825" width="2.31640625" customWidth="1"/>
    <col min="13826" max="13826" width="6.953125" customWidth="1"/>
    <col min="13827" max="13827" width="10.90625" customWidth="1"/>
    <col min="13830" max="13830" width="6.6796875" customWidth="1"/>
    <col min="13831" max="13831" width="14.86328125" customWidth="1"/>
    <col min="13832" max="13832" width="7.76953125" customWidth="1"/>
    <col min="13834" max="13834" width="7.2265625" customWidth="1"/>
    <col min="13836" max="13836" width="1.76953125" customWidth="1"/>
    <col min="14081" max="14081" width="2.31640625" customWidth="1"/>
    <col min="14082" max="14082" width="6.953125" customWidth="1"/>
    <col min="14083" max="14083" width="10.90625" customWidth="1"/>
    <col min="14086" max="14086" width="6.6796875" customWidth="1"/>
    <col min="14087" max="14087" width="14.86328125" customWidth="1"/>
    <col min="14088" max="14088" width="7.76953125" customWidth="1"/>
    <col min="14090" max="14090" width="7.2265625" customWidth="1"/>
    <col min="14092" max="14092" width="1.76953125" customWidth="1"/>
    <col min="14337" max="14337" width="2.31640625" customWidth="1"/>
    <col min="14338" max="14338" width="6.953125" customWidth="1"/>
    <col min="14339" max="14339" width="10.90625" customWidth="1"/>
    <col min="14342" max="14342" width="6.6796875" customWidth="1"/>
    <col min="14343" max="14343" width="14.86328125" customWidth="1"/>
    <col min="14344" max="14344" width="7.76953125" customWidth="1"/>
    <col min="14346" max="14346" width="7.2265625" customWidth="1"/>
    <col min="14348" max="14348" width="1.76953125" customWidth="1"/>
    <col min="14593" max="14593" width="2.31640625" customWidth="1"/>
    <col min="14594" max="14594" width="6.953125" customWidth="1"/>
    <col min="14595" max="14595" width="10.90625" customWidth="1"/>
    <col min="14598" max="14598" width="6.6796875" customWidth="1"/>
    <col min="14599" max="14599" width="14.86328125" customWidth="1"/>
    <col min="14600" max="14600" width="7.76953125" customWidth="1"/>
    <col min="14602" max="14602" width="7.2265625" customWidth="1"/>
    <col min="14604" max="14604" width="1.76953125" customWidth="1"/>
    <col min="14849" max="14849" width="2.31640625" customWidth="1"/>
    <col min="14850" max="14850" width="6.953125" customWidth="1"/>
    <col min="14851" max="14851" width="10.90625" customWidth="1"/>
    <col min="14854" max="14854" width="6.6796875" customWidth="1"/>
    <col min="14855" max="14855" width="14.86328125" customWidth="1"/>
    <col min="14856" max="14856" width="7.76953125" customWidth="1"/>
    <col min="14858" max="14858" width="7.2265625" customWidth="1"/>
    <col min="14860" max="14860" width="1.76953125" customWidth="1"/>
    <col min="15105" max="15105" width="2.31640625" customWidth="1"/>
    <col min="15106" max="15106" width="6.953125" customWidth="1"/>
    <col min="15107" max="15107" width="10.90625" customWidth="1"/>
    <col min="15110" max="15110" width="6.6796875" customWidth="1"/>
    <col min="15111" max="15111" width="14.86328125" customWidth="1"/>
    <col min="15112" max="15112" width="7.76953125" customWidth="1"/>
    <col min="15114" max="15114" width="7.2265625" customWidth="1"/>
    <col min="15116" max="15116" width="1.76953125" customWidth="1"/>
    <col min="15361" max="15361" width="2.31640625" customWidth="1"/>
    <col min="15362" max="15362" width="6.953125" customWidth="1"/>
    <col min="15363" max="15363" width="10.90625" customWidth="1"/>
    <col min="15366" max="15366" width="6.6796875" customWidth="1"/>
    <col min="15367" max="15367" width="14.86328125" customWidth="1"/>
    <col min="15368" max="15368" width="7.76953125" customWidth="1"/>
    <col min="15370" max="15370" width="7.2265625" customWidth="1"/>
    <col min="15372" max="15372" width="1.76953125" customWidth="1"/>
    <col min="15617" max="15617" width="2.31640625" customWidth="1"/>
    <col min="15618" max="15618" width="6.953125" customWidth="1"/>
    <col min="15619" max="15619" width="10.90625" customWidth="1"/>
    <col min="15622" max="15622" width="6.6796875" customWidth="1"/>
    <col min="15623" max="15623" width="14.86328125" customWidth="1"/>
    <col min="15624" max="15624" width="7.76953125" customWidth="1"/>
    <col min="15626" max="15626" width="7.2265625" customWidth="1"/>
    <col min="15628" max="15628" width="1.76953125" customWidth="1"/>
    <col min="15873" max="15873" width="2.31640625" customWidth="1"/>
    <col min="15874" max="15874" width="6.953125" customWidth="1"/>
    <col min="15875" max="15875" width="10.90625" customWidth="1"/>
    <col min="15878" max="15878" width="6.6796875" customWidth="1"/>
    <col min="15879" max="15879" width="14.86328125" customWidth="1"/>
    <col min="15880" max="15880" width="7.76953125" customWidth="1"/>
    <col min="15882" max="15882" width="7.2265625" customWidth="1"/>
    <col min="15884" max="15884" width="1.76953125" customWidth="1"/>
    <col min="16129" max="16129" width="2.31640625" customWidth="1"/>
    <col min="16130" max="16130" width="6.953125" customWidth="1"/>
    <col min="16131" max="16131" width="10.90625" customWidth="1"/>
    <col min="16134" max="16134" width="6.6796875" customWidth="1"/>
    <col min="16135" max="16135" width="14.86328125" customWidth="1"/>
    <col min="16136" max="16136" width="7.76953125" customWidth="1"/>
    <col min="16138" max="16138" width="7.2265625" customWidth="1"/>
    <col min="16140" max="16140" width="1.76953125" customWidth="1"/>
  </cols>
  <sheetData>
    <row r="1" ht="13.5" customHeight="1" spans="1:12" x14ac:dyDescent="0.25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1"/>
    </row>
    <row r="2" ht="13.5" customHeight="1" spans="1:12" x14ac:dyDescent="0.25">
      <c r="A2" s="1"/>
      <c r="B2" s="1"/>
      <c r="C2" s="1"/>
      <c r="D2" s="1"/>
      <c r="E2" s="2"/>
      <c r="F2" s="2"/>
      <c r="G2" s="2"/>
      <c r="H2" s="1"/>
      <c r="I2" s="1"/>
      <c r="J2" s="1"/>
      <c r="K2" s="1"/>
      <c r="L2" s="1"/>
    </row>
    <row r="3" ht="13.5" customHeight="1" spans="1:12" x14ac:dyDescent="0.25">
      <c r="A3" s="1"/>
      <c r="B3" s="1"/>
      <c r="C3" s="1"/>
      <c r="D3" s="3" t="s">
        <v>95</v>
      </c>
      <c r="E3" s="3"/>
      <c r="F3" s="3"/>
      <c r="G3" s="3"/>
      <c r="H3" s="3"/>
      <c r="I3" s="3"/>
      <c r="J3" s="1"/>
      <c r="K3" s="1"/>
      <c r="L3" s="1"/>
    </row>
    <row r="4" ht="13.5" customHeight="1" spans="1:12" x14ac:dyDescent="0.25">
      <c r="A4" s="1"/>
      <c r="B4" s="1"/>
      <c r="C4" s="1"/>
      <c r="D4" s="3"/>
      <c r="E4" s="3"/>
      <c r="F4" s="3"/>
      <c r="G4" s="3"/>
      <c r="H4" s="3"/>
      <c r="I4" s="3"/>
      <c r="J4" s="1"/>
      <c r="K4" s="1"/>
      <c r="L4" s="1"/>
    </row>
    <row r="5" ht="13.5" customHeight="1" spans="1:12" x14ac:dyDescent="0.25">
      <c r="A5" s="1"/>
      <c r="B5" s="1"/>
      <c r="C5" s="1"/>
      <c r="D5" s="3"/>
      <c r="E5" s="3"/>
      <c r="F5" s="3"/>
      <c r="G5" s="3"/>
      <c r="H5" s="3"/>
      <c r="I5" s="3"/>
      <c r="J5" s="1"/>
      <c r="K5" s="1"/>
      <c r="L5" s="1"/>
    </row>
    <row r="6" ht="13.5" customHeight="1" spans="1:12" x14ac:dyDescent="0.25">
      <c r="A6" s="1"/>
      <c r="B6" s="1"/>
      <c r="C6" s="1"/>
      <c r="D6" s="3"/>
      <c r="E6" s="3"/>
      <c r="F6" s="3"/>
      <c r="G6" s="3"/>
      <c r="H6" s="3"/>
      <c r="I6" s="3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ht="24" customHeight="1" spans="1:14" x14ac:dyDescent="0.25">
      <c r="A8" s="1"/>
      <c r="B8" s="1"/>
      <c r="C8" s="4" t="s">
        <v>115</v>
      </c>
      <c r="D8" s="1"/>
      <c r="E8" s="1"/>
      <c r="F8" s="1"/>
      <c r="G8" s="1"/>
      <c r="H8" s="1"/>
      <c r="I8" s="1"/>
      <c r="J8" s="1"/>
      <c r="K8" s="1"/>
      <c r="L8" s="1"/>
      <c r="N8" t="s">
        <v>120</v>
      </c>
    </row>
    <row r="9" ht="15.75" customHeight="1" spans="1:12" x14ac:dyDescent="0.25">
      <c r="A9" s="1"/>
      <c r="B9" s="1"/>
      <c r="C9" s="4"/>
      <c r="D9" s="1"/>
      <c r="E9" s="1"/>
      <c r="F9" s="1"/>
      <c r="G9" s="1"/>
      <c r="H9" s="1"/>
      <c r="I9" s="1"/>
      <c r="J9" s="1"/>
      <c r="K9" s="1"/>
      <c r="L9" s="1"/>
    </row>
    <row r="10" ht="24" customHeight="1" spans="1:12" x14ac:dyDescent="0.25">
      <c r="A10" s="1"/>
      <c r="B10" s="1"/>
      <c r="C10" s="4"/>
      <c r="D10" s="1"/>
      <c r="E10" s="1"/>
      <c r="F10" s="5" t="s">
        <v>97</v>
      </c>
      <c r="G10" s="5"/>
      <c r="H10" s="103">
        <v>0.6666666666678793</v>
      </c>
      <c r="I10" s="12"/>
      <c r="J10" s="12"/>
      <c r="K10" s="1"/>
      <c r="L10" s="1"/>
    </row>
    <row r="11" ht="24" customHeight="1" spans="1:12" x14ac:dyDescent="0.25">
      <c r="A11" s="1"/>
      <c r="B11" s="1"/>
      <c r="C11" s="4"/>
      <c r="D11" s="1"/>
      <c r="E11" s="1"/>
      <c r="F11" s="104" t="s">
        <v>98</v>
      </c>
      <c r="G11" s="105"/>
      <c r="H11" s="106">
        <v>0.75</v>
      </c>
      <c r="I11" s="105"/>
      <c r="J11" s="105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13.5" customHeight="1" spans="1:12" x14ac:dyDescent="0.25">
      <c r="A14" s="1"/>
      <c r="B14" s="1"/>
      <c r="C14" s="4"/>
      <c r="D14" s="8" t="s">
        <v>99</v>
      </c>
      <c r="E14" s="8"/>
      <c r="F14" s="8"/>
      <c r="G14" s="8"/>
      <c r="H14" s="8"/>
      <c r="I14" s="107">
        <v>51</v>
      </c>
      <c r="J14" s="107"/>
      <c r="K14" s="1"/>
      <c r="L14" s="1"/>
    </row>
    <row r="15" ht="13.5" customHeight="1" spans="1:12" x14ac:dyDescent="0.25">
      <c r="A15" s="1"/>
      <c r="B15" s="1"/>
      <c r="C15" s="4"/>
      <c r="D15" s="108"/>
      <c r="E15" s="108"/>
      <c r="F15" s="108"/>
      <c r="G15" s="108"/>
      <c r="H15" s="108"/>
      <c r="I15" s="16"/>
      <c r="J15" s="16"/>
      <c r="K15" s="1"/>
      <c r="L15" s="1"/>
    </row>
    <row r="16" ht="13.5" customHeight="1" spans="1:12" x14ac:dyDescent="0.25">
      <c r="A16" s="1"/>
      <c r="B16" s="1"/>
      <c r="C16" s="4"/>
      <c r="D16" s="8" t="s">
        <v>121</v>
      </c>
      <c r="E16" s="8"/>
      <c r="F16" s="8"/>
      <c r="G16" s="8"/>
      <c r="H16" s="8"/>
      <c r="I16" s="109">
        <v>2</v>
      </c>
      <c r="J16" s="109"/>
      <c r="K16" s="1"/>
      <c r="L16" s="1"/>
    </row>
    <row r="17" ht="13.5" customHeight="1" spans="1:12" x14ac:dyDescent="0.25">
      <c r="A17" s="1"/>
      <c r="B17" s="1"/>
      <c r="C17" s="4"/>
      <c r="D17" s="108"/>
      <c r="E17" s="108"/>
      <c r="F17" s="108"/>
      <c r="G17" s="108"/>
      <c r="H17" s="108"/>
      <c r="I17" s="16"/>
      <c r="J17" s="16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ht="24" customHeight="1" spans="1:12" x14ac:dyDescent="0.25">
      <c r="A20" s="1"/>
      <c r="B20" s="1"/>
      <c r="C20" s="110" t="s">
        <v>101</v>
      </c>
      <c r="D20" s="111"/>
      <c r="E20" s="111"/>
      <c r="F20" s="112"/>
      <c r="G20" s="113" t="s">
        <v>102</v>
      </c>
      <c r="H20" s="110" t="s">
        <v>117</v>
      </c>
      <c r="I20" s="111"/>
      <c r="J20" s="112"/>
      <c r="K20" s="1"/>
      <c r="L20" s="1"/>
    </row>
    <row r="21" ht="24" customHeight="1" spans="1:12" x14ac:dyDescent="0.25">
      <c r="A21" s="1"/>
      <c r="B21" s="1"/>
      <c r="C21" s="114" t="s">
        <v>104</v>
      </c>
      <c r="D21" s="115"/>
      <c r="E21" s="115"/>
      <c r="F21" s="115"/>
      <c r="G21" s="6"/>
      <c r="H21" s="17"/>
      <c r="I21" s="18"/>
      <c r="J21" s="19"/>
      <c r="K21" s="1"/>
      <c r="L21" s="1"/>
    </row>
    <row r="22" ht="24" customHeight="1" spans="1:12" x14ac:dyDescent="0.25">
      <c r="A22" s="1"/>
      <c r="B22" s="1"/>
      <c r="C22" s="114" t="s">
        <v>105</v>
      </c>
      <c r="D22" s="115"/>
      <c r="E22" s="115"/>
      <c r="F22" s="115"/>
      <c r="G22" s="6">
        <v>1</v>
      </c>
      <c r="H22" s="17">
        <f>果物!N37+果物!N74+果物!N111</f>
        <v>257812</v>
      </c>
      <c r="I22" s="18"/>
      <c r="J22" s="19"/>
      <c r="K22" s="1"/>
      <c r="L22" s="1"/>
    </row>
    <row r="23" ht="24" customHeight="1" spans="1:12" x14ac:dyDescent="0.25">
      <c r="A23" s="1"/>
      <c r="B23" s="1"/>
      <c r="C23" s="114" t="s">
        <v>106</v>
      </c>
      <c r="D23" s="115"/>
      <c r="E23" s="115"/>
      <c r="F23" s="115"/>
      <c r="G23" s="20"/>
      <c r="H23" s="17"/>
      <c r="I23" s="18"/>
      <c r="J23" s="19"/>
      <c r="K23" s="1"/>
      <c r="L23" s="1"/>
    </row>
    <row r="24" ht="24" customHeight="1" spans="1:12" x14ac:dyDescent="0.25">
      <c r="A24" s="1"/>
      <c r="B24" s="1"/>
      <c r="C24" s="114" t="s">
        <v>107</v>
      </c>
      <c r="D24" s="115"/>
      <c r="E24" s="115"/>
      <c r="F24" s="115"/>
      <c r="G24" s="20"/>
      <c r="H24" s="17"/>
      <c r="I24" s="18"/>
      <c r="J24" s="19"/>
      <c r="K24" s="1"/>
      <c r="L24" s="1"/>
    </row>
    <row r="25" ht="24" customHeight="1" spans="1:12" x14ac:dyDescent="0.25">
      <c r="A25" s="1"/>
      <c r="B25" s="1"/>
      <c r="C25" s="116" t="s">
        <v>108</v>
      </c>
      <c r="D25" s="117"/>
      <c r="E25" s="117"/>
      <c r="F25" s="118"/>
      <c r="G25" s="14">
        <f>SUM(G21:G24)</f>
        <v>1</v>
      </c>
      <c r="H25" s="17">
        <f>SUM(H21:J24)</f>
        <v>257812</v>
      </c>
      <c r="I25" s="18"/>
      <c r="J25" s="19"/>
      <c r="K25" s="1"/>
      <c r="L25" s="1"/>
    </row>
    <row r="26" ht="24" customHeight="1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6" t="s">
        <v>5</v>
      </c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7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7"/>
      <c r="L30" s="1"/>
    </row>
    <row r="31" ht="13.5" customHeight="1" spans="1:12" x14ac:dyDescent="0.25">
      <c r="A31" s="1"/>
      <c r="B31" s="1"/>
      <c r="C31" s="1"/>
      <c r="D31" s="1"/>
      <c r="E31" s="8" t="s">
        <v>118</v>
      </c>
      <c r="F31" s="8"/>
      <c r="G31" s="8"/>
      <c r="H31" s="8"/>
      <c r="I31" s="8"/>
      <c r="J31" s="1"/>
      <c r="K31" s="7"/>
      <c r="L31" s="1"/>
    </row>
    <row r="32" ht="13.5" customHeight="1" spans="1:12" x14ac:dyDescent="0.25">
      <c r="A32" s="1"/>
      <c r="B32" s="1"/>
      <c r="C32" s="1"/>
      <c r="D32" s="1"/>
      <c r="E32" s="108"/>
      <c r="F32" s="108"/>
      <c r="G32" s="108"/>
      <c r="H32" s="108"/>
      <c r="I32" s="108"/>
      <c r="J32" s="1"/>
      <c r="K32" s="9"/>
      <c r="L32" s="1"/>
    </row>
    <row r="33" spans="1:12" x14ac:dyDescent="0.25">
      <c r="A33" s="1"/>
      <c r="B33" s="1"/>
      <c r="C33" s="1"/>
      <c r="D33" s="1"/>
      <c r="E33" s="10"/>
      <c r="F33" s="10"/>
      <c r="G33" s="10"/>
      <c r="H33" s="10"/>
      <c r="I33" s="10"/>
      <c r="J33" s="1"/>
      <c r="K33" s="1"/>
      <c r="L33" s="1"/>
    </row>
    <row r="35" ht="18.75" customHeight="1" spans="3:3" x14ac:dyDescent="0.25">
      <c r="C35" s="99" t="s">
        <v>110</v>
      </c>
    </row>
    <row r="36" ht="24" customHeight="1" spans="3:10" x14ac:dyDescent="0.25">
      <c r="C36" s="100" t="s">
        <v>111</v>
      </c>
      <c r="D36" s="78" t="s">
        <v>112</v>
      </c>
      <c r="E36" s="79"/>
      <c r="F36" s="80"/>
      <c r="G36" s="78" t="s">
        <v>113</v>
      </c>
      <c r="H36" s="80"/>
      <c r="I36" s="78" t="s">
        <v>114</v>
      </c>
      <c r="J36" s="80"/>
    </row>
    <row r="37" ht="24" customHeight="1" spans="3:10" x14ac:dyDescent="0.25">
      <c r="C37" s="91"/>
      <c r="D37" s="101"/>
      <c r="E37" s="71"/>
      <c r="F37" s="102"/>
      <c r="G37" s="101"/>
      <c r="H37" s="102"/>
      <c r="I37" s="101"/>
      <c r="J37" s="102"/>
    </row>
    <row r="38" ht="24" customHeight="1" spans="3:10" x14ac:dyDescent="0.25">
      <c r="C38" s="91"/>
      <c r="D38" s="101"/>
      <c r="E38" s="71"/>
      <c r="F38" s="102"/>
      <c r="G38" s="101"/>
      <c r="H38" s="102"/>
      <c r="I38" s="101"/>
      <c r="J38" s="102"/>
    </row>
    <row r="39" ht="24" customHeight="1" spans="3:10" x14ac:dyDescent="0.25">
      <c r="C39" s="91"/>
      <c r="D39" s="101"/>
      <c r="E39" s="71"/>
      <c r="F39" s="102"/>
      <c r="G39" s="101"/>
      <c r="H39" s="102"/>
      <c r="I39" s="101"/>
      <c r="J39" s="102"/>
    </row>
    <row r="40" ht="24" customHeight="1" spans="3:10" x14ac:dyDescent="0.25">
      <c r="C40" s="91"/>
      <c r="D40" s="101"/>
      <c r="E40" s="71"/>
      <c r="F40" s="102"/>
      <c r="G40" s="101"/>
      <c r="H40" s="102"/>
      <c r="I40" s="101"/>
      <c r="J40" s="102"/>
    </row>
    <row r="41" ht="24" customHeight="1" spans="3:10" x14ac:dyDescent="0.25">
      <c r="C41" s="91"/>
      <c r="D41" s="101"/>
      <c r="E41" s="71"/>
      <c r="F41" s="102"/>
      <c r="G41" s="101"/>
      <c r="H41" s="102"/>
      <c r="I41" s="101"/>
      <c r="J41" s="102"/>
    </row>
    <row r="42" ht="24" customHeight="1" spans="3:10" x14ac:dyDescent="0.25">
      <c r="C42" s="91"/>
      <c r="D42" s="101"/>
      <c r="E42" s="71"/>
      <c r="F42" s="102"/>
      <c r="G42" s="101"/>
      <c r="H42" s="102"/>
      <c r="I42" s="101"/>
      <c r="J42" s="102"/>
    </row>
    <row r="43" ht="24" customHeight="1" spans="3:10" x14ac:dyDescent="0.25">
      <c r="C43" s="91"/>
      <c r="D43" s="101"/>
      <c r="E43" s="71"/>
      <c r="F43" s="102"/>
      <c r="G43" s="101"/>
      <c r="H43" s="102"/>
      <c r="I43" s="101"/>
      <c r="J43" s="102"/>
    </row>
    <row r="44" ht="24" customHeight="1" spans="3:10" x14ac:dyDescent="0.25">
      <c r="C44" s="91"/>
      <c r="D44" s="101"/>
      <c r="E44" s="71"/>
      <c r="F44" s="102"/>
      <c r="G44" s="101"/>
      <c r="H44" s="102"/>
      <c r="I44" s="101"/>
      <c r="J44" s="102"/>
    </row>
  </sheetData>
  <mergeCells count="41">
    <mergeCell ref="D3:I5"/>
    <mergeCell ref="D14:H15"/>
    <mergeCell ref="I14:J15"/>
    <mergeCell ref="D16:H17"/>
    <mergeCell ref="I16:J17"/>
    <mergeCell ref="C20:F20"/>
    <mergeCell ref="H20:J20"/>
    <mergeCell ref="H21:J21"/>
    <mergeCell ref="H22:J22"/>
    <mergeCell ref="H23:J23"/>
    <mergeCell ref="H24:J24"/>
    <mergeCell ref="C25:F25"/>
    <mergeCell ref="H25:J25"/>
    <mergeCell ref="E31:I32"/>
    <mergeCell ref="D36:F36"/>
    <mergeCell ref="G36:H36"/>
    <mergeCell ref="I36:J36"/>
    <mergeCell ref="D37:F37"/>
    <mergeCell ref="G37:H37"/>
    <mergeCell ref="I37:J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3:F43"/>
    <mergeCell ref="G43:H43"/>
    <mergeCell ref="I43:J43"/>
    <mergeCell ref="D44:F44"/>
    <mergeCell ref="G44:H44"/>
    <mergeCell ref="I44:J44"/>
  </mergeCells>
  <pageMargins left="0.7" right="0.7" top="0.75" bottom="0.75" header="0.3" footer="0.3"/>
  <pageSetup paperSize="9" orientation="portrait" horizontalDpi="4294967295" verticalDpi="4294967295" scale="94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棚卸集計表送付書</vt:lpstr>
      <vt:lpstr>棚卸表</vt:lpstr>
      <vt:lpstr>野菜</vt:lpstr>
      <vt:lpstr>果物</vt:lpstr>
      <vt:lpstr>野菜　原価</vt:lpstr>
      <vt:lpstr>野菜　売価</vt:lpstr>
      <vt:lpstr>果物　原価 </vt:lpstr>
      <vt:lpstr>果物　売価</vt:lpstr>
      <vt:lpstr>棚卸店舗集計表　#1生鮮他</vt:lpstr>
      <vt:lpstr>各社部門コード</vt:lpstr>
      <vt:lpstr>棚卸集計表  (ワード貼付用)</vt:lpstr>
      <vt:lpstr>野菜テンプレ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SshdUser</dc:creator>
  <cp:lastModifiedBy>SelvaOperator</cp:lastModifiedBy>
  <cp:lastPrinted>2025-02-24T09:17:29Z</cp:lastPrinted>
  <dcterms:created xsi:type="dcterms:W3CDTF">2018-08-13T07:00:18Z</dcterms:created>
  <dcterms:modified xsi:type="dcterms:W3CDTF">2025-02-24T09:17:48Z</dcterms:modified>
</cp:coreProperties>
</file>